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hidePivotFieldList="1"/>
  <xr:revisionPtr revIDLastSave="0" documentId="8_{BE248541-97FF-42FD-9E76-8C4A364F60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URANCE" sheetId="1" r:id="rId1"/>
  </sheets>
  <calcPr calcId="191028"/>
  <pivotCaches>
    <pivotCache cacheId="318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L22" i="1"/>
  <c r="L21" i="1"/>
  <c r="L17" i="1"/>
  <c r="L16" i="1"/>
  <c r="L15" i="1"/>
  <c r="L14" i="1"/>
  <c r="L13" i="1"/>
  <c r="L10" i="1"/>
  <c r="L9" i="1"/>
  <c r="I20" i="1"/>
  <c r="I19" i="1"/>
  <c r="I18" i="1"/>
  <c r="I17" i="1"/>
  <c r="I8" i="1"/>
  <c r="I7" i="1"/>
  <c r="I5" i="1"/>
  <c r="I6" i="1"/>
  <c r="I13" i="1"/>
  <c r="I12" i="1"/>
  <c r="I11" i="1"/>
  <c r="L6" i="1"/>
  <c r="L5" i="1"/>
  <c r="L4" i="1"/>
  <c r="I4" i="1"/>
</calcChain>
</file>

<file path=xl/sharedStrings.xml><?xml version="1.0" encoding="utf-8"?>
<sst xmlns="http://schemas.openxmlformats.org/spreadsheetml/2006/main" count="122" uniqueCount="79">
  <si>
    <t>INSURANCE AND CLAIMS DATA</t>
  </si>
  <si>
    <t>Excel Functions</t>
  </si>
  <si>
    <t>Policy Number</t>
  </si>
  <si>
    <t>Customer Age</t>
  </si>
  <si>
    <t>Premium</t>
  </si>
  <si>
    <t>Claim Amount</t>
  </si>
  <si>
    <t>Policy Type</t>
  </si>
  <si>
    <t>Mathematical Functions</t>
  </si>
  <si>
    <t>Date Functions</t>
  </si>
  <si>
    <t>P1001</t>
  </si>
  <si>
    <t>Health</t>
  </si>
  <si>
    <t>Minimum conversion rate  =</t>
  </si>
  <si>
    <t>Now =</t>
  </si>
  <si>
    <t>P1002</t>
  </si>
  <si>
    <t>Life</t>
  </si>
  <si>
    <t>Maximum cost =</t>
  </si>
  <si>
    <t>DateDif (of start to end sales)=</t>
  </si>
  <si>
    <t>P1003</t>
  </si>
  <si>
    <t>Vehicle</t>
  </si>
  <si>
    <t>Count of leads generated =</t>
  </si>
  <si>
    <t>Today =</t>
  </si>
  <si>
    <t>P1004</t>
  </si>
  <si>
    <t>Home</t>
  </si>
  <si>
    <t xml:space="preserve">Total leads generated = </t>
  </si>
  <si>
    <t>P1005</t>
  </si>
  <si>
    <t>Average conversion rate =</t>
  </si>
  <si>
    <t>Financial Functions</t>
  </si>
  <si>
    <t>P1006</t>
  </si>
  <si>
    <t>PMT</t>
  </si>
  <si>
    <t>P1007</t>
  </si>
  <si>
    <t>Logical Functions</t>
  </si>
  <si>
    <t>NPV</t>
  </si>
  <si>
    <t>P1008</t>
  </si>
  <si>
    <t xml:space="preserve">If( max  conversion) = </t>
  </si>
  <si>
    <t>P1009</t>
  </si>
  <si>
    <t>And (true or false) =</t>
  </si>
  <si>
    <t>Statistical Functions</t>
  </si>
  <si>
    <t>P1010</t>
  </si>
  <si>
    <t>Or (true or false) =</t>
  </si>
  <si>
    <t>Mean=</t>
  </si>
  <si>
    <t>P1011</t>
  </si>
  <si>
    <t>Mode( in ) =</t>
  </si>
  <si>
    <t>P1012</t>
  </si>
  <si>
    <t>Median =</t>
  </si>
  <si>
    <t>P1013</t>
  </si>
  <si>
    <t>Text Functions</t>
  </si>
  <si>
    <t>Standard Deviation =</t>
  </si>
  <si>
    <t>P1014</t>
  </si>
  <si>
    <t>Left(3,d8) =</t>
  </si>
  <si>
    <t>Correlation between cost &amp;conversion rate=</t>
  </si>
  <si>
    <t>P1015</t>
  </si>
  <si>
    <t>Right(4,d11) =</t>
  </si>
  <si>
    <t>Mid(2,3,c9) =</t>
  </si>
  <si>
    <t>Concat(c18+d18) =</t>
  </si>
  <si>
    <t>Lookup Functions</t>
  </si>
  <si>
    <t>PIVOT TABLE</t>
  </si>
  <si>
    <t>Vlookup</t>
  </si>
  <si>
    <t>Sum of Customer Age</t>
  </si>
  <si>
    <t>Sum of Premium</t>
  </si>
  <si>
    <t>Sum of Claim Amount</t>
  </si>
  <si>
    <t>Hlookup</t>
  </si>
  <si>
    <t>Xlookup</t>
  </si>
  <si>
    <t>P1001 Total</t>
  </si>
  <si>
    <t>P1002 Total</t>
  </si>
  <si>
    <t>PIVOT CHART</t>
  </si>
  <si>
    <t>P1003 Total</t>
  </si>
  <si>
    <t>P1004 Total</t>
  </si>
  <si>
    <t>P1005 Total</t>
  </si>
  <si>
    <t>P1006 Total</t>
  </si>
  <si>
    <t>P1007 Total</t>
  </si>
  <si>
    <t>P1008 Total</t>
  </si>
  <si>
    <t>P1009 Total</t>
  </si>
  <si>
    <t>P1010 Total</t>
  </si>
  <si>
    <t>P1011 Total</t>
  </si>
  <si>
    <t>P1012 Total</t>
  </si>
  <si>
    <t>P1013 Total</t>
  </si>
  <si>
    <t>P1014 Total</t>
  </si>
  <si>
    <t>P1015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</si>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</sst>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Agency FB"/>
      <family val="2"/>
    </font>
    <font>
      <b/>
      <sz val="20"/>
      <color theme="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medium">
        <color indexed="64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/>
      <top style="thin">
        <color theme="7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7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15" xfId="0" applyFill="1" applyBorder="1"/>
    <xf numFmtId="0" fontId="0" fillId="3" borderId="16" xfId="0" applyFill="1" applyBorder="1"/>
    <xf numFmtId="0" fontId="0" fillId="0" borderId="15" xfId="0" applyBorder="1"/>
    <xf numFmtId="0" fontId="0" fillId="0" borderId="16" xfId="0" applyBorder="1"/>
    <xf numFmtId="0" fontId="0" fillId="3" borderId="17" xfId="0" applyFill="1" applyBorder="1"/>
    <xf numFmtId="0" fontId="0" fillId="3" borderId="18" xfId="0" applyFill="1" applyBorder="1"/>
    <xf numFmtId="0" fontId="3" fillId="0" borderId="0" xfId="0" applyFont="1" applyAlignment="1">
      <alignment horizontal="center"/>
    </xf>
    <xf numFmtId="0" fontId="0" fillId="0" borderId="17" xfId="0" applyBorder="1"/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5" xfId="0" applyFill="1" applyBorder="1" applyAlignment="1">
      <alignment wrapText="1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8" fontId="0" fillId="3" borderId="16" xfId="0" applyNumberFormat="1" applyFill="1" applyBorder="1"/>
    <xf numFmtId="8" fontId="0" fillId="0" borderId="18" xfId="0" applyNumberFormat="1" applyBorder="1"/>
    <xf numFmtId="0" fontId="0" fillId="0" borderId="0" xfId="0" pivotButton="1"/>
    <xf numFmtId="0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10"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[MAPAssignment4.xlsx]INSURANCE!PivotTable2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AND CLAIMS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INSURANCE!$C$22</c:f>
              <c:strCache>
                <c:ptCount val="1"/>
                <c:pt idx="0">
                  <c:v>Sum of Customer 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INSURANCE!$A$23:$B$53</c:f>
              <c:multiLvlStrCache>
                <c:ptCount val="15"/>
                <c:lvl>
                  <c:pt idx="0">
                    <c:v>Health</c:v>
                  </c:pt>
                  <c:pt idx="1">
                    <c:v>Life</c:v>
                  </c:pt>
                  <c:pt idx="2">
                    <c:v>Vehicle</c:v>
                  </c:pt>
                  <c:pt idx="3">
                    <c:v>Home</c:v>
                  </c:pt>
                  <c:pt idx="4">
                    <c:v>Health</c:v>
                  </c:pt>
                  <c:pt idx="5">
                    <c:v>Life</c:v>
                  </c:pt>
                  <c:pt idx="6">
                    <c:v>Vehicle</c:v>
                  </c:pt>
                  <c:pt idx="7">
                    <c:v>Home</c:v>
                  </c:pt>
                  <c:pt idx="8">
                    <c:v>Health</c:v>
                  </c:pt>
                  <c:pt idx="9">
                    <c:v>Life</c:v>
                  </c:pt>
                  <c:pt idx="10">
                    <c:v>Vehicle</c:v>
                  </c:pt>
                  <c:pt idx="11">
                    <c:v>Home</c:v>
                  </c:pt>
                  <c:pt idx="12">
                    <c:v>Health</c:v>
                  </c:pt>
                  <c:pt idx="13">
                    <c:v>Life</c:v>
                  </c:pt>
                  <c:pt idx="14">
                    <c:v>Vehicle</c:v>
                  </c:pt>
                </c:lvl>
                <c:lvl>
                  <c:pt idx="0">
                    <c:v>P1001</c:v>
                  </c:pt>
                  <c:pt idx="1">
                    <c:v>P1002</c:v>
                  </c:pt>
                  <c:pt idx="2">
                    <c:v>P1003</c:v>
                  </c:pt>
                  <c:pt idx="3">
                    <c:v>P1004</c:v>
                  </c:pt>
                  <c:pt idx="4">
                    <c:v>P1005</c:v>
                  </c:pt>
                  <c:pt idx="5">
                    <c:v>P1006</c:v>
                  </c:pt>
                  <c:pt idx="6">
                    <c:v>P1007</c:v>
                  </c:pt>
                  <c:pt idx="7">
                    <c:v>P1008</c:v>
                  </c:pt>
                  <c:pt idx="8">
                    <c:v>P1009</c:v>
                  </c:pt>
                  <c:pt idx="9">
                    <c:v>P1010</c:v>
                  </c:pt>
                  <c:pt idx="10">
                    <c:v>P1011</c:v>
                  </c:pt>
                  <c:pt idx="11">
                    <c:v>P1012</c:v>
                  </c:pt>
                  <c:pt idx="12">
                    <c:v>P1013</c:v>
                  </c:pt>
                  <c:pt idx="13">
                    <c:v>P1014</c:v>
                  </c:pt>
                  <c:pt idx="14">
                    <c:v>P1015</c:v>
                  </c:pt>
                </c:lvl>
              </c:multiLvlStrCache>
            </c:multiLvlStrRef>
          </c:cat>
          <c:val>
            <c:numRef>
              <c:f>INSURANCE!$C$23:$C$53</c:f>
              <c:numCache>
                <c:formatCode>General</c:formatCode>
                <c:ptCount val="15"/>
                <c:pt idx="0">
                  <c:v>23</c:v>
                </c:pt>
                <c:pt idx="1">
                  <c:v>45</c:v>
                </c:pt>
                <c:pt idx="2">
                  <c:v>34</c:v>
                </c:pt>
                <c:pt idx="3">
                  <c:v>18</c:v>
                </c:pt>
                <c:pt idx="4">
                  <c:v>26</c:v>
                </c:pt>
                <c:pt idx="5">
                  <c:v>65</c:v>
                </c:pt>
                <c:pt idx="6">
                  <c:v>73</c:v>
                </c:pt>
                <c:pt idx="7">
                  <c:v>55</c:v>
                </c:pt>
                <c:pt idx="8">
                  <c:v>48</c:v>
                </c:pt>
                <c:pt idx="9">
                  <c:v>35</c:v>
                </c:pt>
                <c:pt idx="10">
                  <c:v>38</c:v>
                </c:pt>
                <c:pt idx="11">
                  <c:v>21</c:v>
                </c:pt>
                <c:pt idx="12">
                  <c:v>19</c:v>
                </c:pt>
                <c:pt idx="13">
                  <c:v>20</c:v>
                </c:pt>
                <c:pt idx="1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5-4828-91F0-5A3229F72F51}"/>
            </c:ext>
          </c:extLst>
        </c:ser>
        <c:ser>
          <c:idx val="1"/>
          <c:order val="1"/>
          <c:tx>
            <c:strRef>
              <c:f>INSURANCE!$D$22</c:f>
              <c:strCache>
                <c:ptCount val="1"/>
                <c:pt idx="0">
                  <c:v>Sum of Premium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INSURANCE!$A$23:$B$53</c:f>
              <c:multiLvlStrCache>
                <c:ptCount val="15"/>
                <c:lvl>
                  <c:pt idx="0">
                    <c:v>Health</c:v>
                  </c:pt>
                  <c:pt idx="1">
                    <c:v>Life</c:v>
                  </c:pt>
                  <c:pt idx="2">
                    <c:v>Vehicle</c:v>
                  </c:pt>
                  <c:pt idx="3">
                    <c:v>Home</c:v>
                  </c:pt>
                  <c:pt idx="4">
                    <c:v>Health</c:v>
                  </c:pt>
                  <c:pt idx="5">
                    <c:v>Life</c:v>
                  </c:pt>
                  <c:pt idx="6">
                    <c:v>Vehicle</c:v>
                  </c:pt>
                  <c:pt idx="7">
                    <c:v>Home</c:v>
                  </c:pt>
                  <c:pt idx="8">
                    <c:v>Health</c:v>
                  </c:pt>
                  <c:pt idx="9">
                    <c:v>Life</c:v>
                  </c:pt>
                  <c:pt idx="10">
                    <c:v>Vehicle</c:v>
                  </c:pt>
                  <c:pt idx="11">
                    <c:v>Home</c:v>
                  </c:pt>
                  <c:pt idx="12">
                    <c:v>Health</c:v>
                  </c:pt>
                  <c:pt idx="13">
                    <c:v>Life</c:v>
                  </c:pt>
                  <c:pt idx="14">
                    <c:v>Vehicle</c:v>
                  </c:pt>
                </c:lvl>
                <c:lvl>
                  <c:pt idx="0">
                    <c:v>P1001</c:v>
                  </c:pt>
                  <c:pt idx="1">
                    <c:v>P1002</c:v>
                  </c:pt>
                  <c:pt idx="2">
                    <c:v>P1003</c:v>
                  </c:pt>
                  <c:pt idx="3">
                    <c:v>P1004</c:v>
                  </c:pt>
                  <c:pt idx="4">
                    <c:v>P1005</c:v>
                  </c:pt>
                  <c:pt idx="5">
                    <c:v>P1006</c:v>
                  </c:pt>
                  <c:pt idx="6">
                    <c:v>P1007</c:v>
                  </c:pt>
                  <c:pt idx="7">
                    <c:v>P1008</c:v>
                  </c:pt>
                  <c:pt idx="8">
                    <c:v>P1009</c:v>
                  </c:pt>
                  <c:pt idx="9">
                    <c:v>P1010</c:v>
                  </c:pt>
                  <c:pt idx="10">
                    <c:v>P1011</c:v>
                  </c:pt>
                  <c:pt idx="11">
                    <c:v>P1012</c:v>
                  </c:pt>
                  <c:pt idx="12">
                    <c:v>P1013</c:v>
                  </c:pt>
                  <c:pt idx="13">
                    <c:v>P1014</c:v>
                  </c:pt>
                  <c:pt idx="14">
                    <c:v>P1015</c:v>
                  </c:pt>
                </c:lvl>
              </c:multiLvlStrCache>
            </c:multiLvlStrRef>
          </c:cat>
          <c:val>
            <c:numRef>
              <c:f>INSURANCE!$D$23:$D$53</c:f>
              <c:numCache>
                <c:formatCode>General</c:formatCode>
                <c:ptCount val="15"/>
                <c:pt idx="0">
                  <c:v>15000</c:v>
                </c:pt>
                <c:pt idx="1">
                  <c:v>20000</c:v>
                </c:pt>
                <c:pt idx="2">
                  <c:v>34000</c:v>
                </c:pt>
                <c:pt idx="3">
                  <c:v>21000</c:v>
                </c:pt>
                <c:pt idx="4">
                  <c:v>30500</c:v>
                </c:pt>
                <c:pt idx="5">
                  <c:v>33700</c:v>
                </c:pt>
                <c:pt idx="6">
                  <c:v>36900</c:v>
                </c:pt>
                <c:pt idx="7">
                  <c:v>40100</c:v>
                </c:pt>
                <c:pt idx="8">
                  <c:v>43300</c:v>
                </c:pt>
                <c:pt idx="9">
                  <c:v>46500</c:v>
                </c:pt>
                <c:pt idx="10">
                  <c:v>49700</c:v>
                </c:pt>
                <c:pt idx="11">
                  <c:v>52900</c:v>
                </c:pt>
                <c:pt idx="12">
                  <c:v>56100</c:v>
                </c:pt>
                <c:pt idx="13">
                  <c:v>59300</c:v>
                </c:pt>
                <c:pt idx="14">
                  <c:v>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15-4828-91F0-5A3229F72F51}"/>
            </c:ext>
          </c:extLst>
        </c:ser>
        <c:ser>
          <c:idx val="2"/>
          <c:order val="2"/>
          <c:tx>
            <c:strRef>
              <c:f>INSURANCE!$E$22</c:f>
              <c:strCache>
                <c:ptCount val="1"/>
                <c:pt idx="0">
                  <c:v>Sum of Claim 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INSURANCE!$A$23:$B$53</c:f>
              <c:multiLvlStrCache>
                <c:ptCount val="15"/>
                <c:lvl>
                  <c:pt idx="0">
                    <c:v>Health</c:v>
                  </c:pt>
                  <c:pt idx="1">
                    <c:v>Life</c:v>
                  </c:pt>
                  <c:pt idx="2">
                    <c:v>Vehicle</c:v>
                  </c:pt>
                  <c:pt idx="3">
                    <c:v>Home</c:v>
                  </c:pt>
                  <c:pt idx="4">
                    <c:v>Health</c:v>
                  </c:pt>
                  <c:pt idx="5">
                    <c:v>Life</c:v>
                  </c:pt>
                  <c:pt idx="6">
                    <c:v>Vehicle</c:v>
                  </c:pt>
                  <c:pt idx="7">
                    <c:v>Home</c:v>
                  </c:pt>
                  <c:pt idx="8">
                    <c:v>Health</c:v>
                  </c:pt>
                  <c:pt idx="9">
                    <c:v>Life</c:v>
                  </c:pt>
                  <c:pt idx="10">
                    <c:v>Vehicle</c:v>
                  </c:pt>
                  <c:pt idx="11">
                    <c:v>Home</c:v>
                  </c:pt>
                  <c:pt idx="12">
                    <c:v>Health</c:v>
                  </c:pt>
                  <c:pt idx="13">
                    <c:v>Life</c:v>
                  </c:pt>
                  <c:pt idx="14">
                    <c:v>Vehicle</c:v>
                  </c:pt>
                </c:lvl>
                <c:lvl>
                  <c:pt idx="0">
                    <c:v>P1001</c:v>
                  </c:pt>
                  <c:pt idx="1">
                    <c:v>P1002</c:v>
                  </c:pt>
                  <c:pt idx="2">
                    <c:v>P1003</c:v>
                  </c:pt>
                  <c:pt idx="3">
                    <c:v>P1004</c:v>
                  </c:pt>
                  <c:pt idx="4">
                    <c:v>P1005</c:v>
                  </c:pt>
                  <c:pt idx="5">
                    <c:v>P1006</c:v>
                  </c:pt>
                  <c:pt idx="6">
                    <c:v>P1007</c:v>
                  </c:pt>
                  <c:pt idx="7">
                    <c:v>P1008</c:v>
                  </c:pt>
                  <c:pt idx="8">
                    <c:v>P1009</c:v>
                  </c:pt>
                  <c:pt idx="9">
                    <c:v>P1010</c:v>
                  </c:pt>
                  <c:pt idx="10">
                    <c:v>P1011</c:v>
                  </c:pt>
                  <c:pt idx="11">
                    <c:v>P1012</c:v>
                  </c:pt>
                  <c:pt idx="12">
                    <c:v>P1013</c:v>
                  </c:pt>
                  <c:pt idx="13">
                    <c:v>P1014</c:v>
                  </c:pt>
                  <c:pt idx="14">
                    <c:v>P1015</c:v>
                  </c:pt>
                </c:lvl>
              </c:multiLvlStrCache>
            </c:multiLvlStrRef>
          </c:cat>
          <c:val>
            <c:numRef>
              <c:f>INSURANCE!$E$23:$E$53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7000</c:v>
                </c:pt>
                <c:pt idx="3">
                  <c:v>0</c:v>
                </c:pt>
                <c:pt idx="4">
                  <c:v>4600</c:v>
                </c:pt>
                <c:pt idx="5">
                  <c:v>500</c:v>
                </c:pt>
                <c:pt idx="6">
                  <c:v>0</c:v>
                </c:pt>
                <c:pt idx="7">
                  <c:v>2100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900</c:v>
                </c:pt>
                <c:pt idx="12">
                  <c:v>0</c:v>
                </c:pt>
                <c:pt idx="13">
                  <c:v>15000</c:v>
                </c:pt>
                <c:pt idx="14">
                  <c:v>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15-4828-91F0-5A3229F72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921480"/>
        <c:axId val="57644040"/>
      </c:barChart>
      <c:catAx>
        <c:axId val="50921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4040"/>
        <c:crosses val="autoZero"/>
        <c:auto val="1"/>
        <c:lblAlgn val="ctr"/>
        <c:lblOffset val="100"/>
        <c:noMultiLvlLbl val="0"/>
      </c:catAx>
      <c:valAx>
        <c:axId val="57644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2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27</xdr:row>
      <xdr:rowOff>9525</xdr:rowOff>
    </xdr:from>
    <xdr:to>
      <xdr:col>10</xdr:col>
      <xdr:colOff>447675</xdr:colOff>
      <xdr:row>41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78C99-EC72-117B-08CB-818B88774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4.854986458333" createdVersion="8" refreshedVersion="8" minRefreshableVersion="3" recordCount="15" xr:uid="{C7DC0A8F-8518-4A22-AD6F-83A25BB6CCA2}">
  <cacheSource type="worksheet">
    <worksheetSource name="Table1"/>
  </cacheSource>
  <cacheFields count="5">
    <cacheField name="Policy Number" numFmtId="0">
      <sharedItems count="15">
        <s v="P1001"/>
        <s v="P1002"/>
        <s v="P1003"/>
        <s v="P1004"/>
        <s v="P1005"/>
        <s v="P1006"/>
        <s v="P1007"/>
        <s v="P1008"/>
        <s v="P1009"/>
        <s v="P1010"/>
        <s v="P1011"/>
        <s v="P1012"/>
        <s v="P1013"/>
        <s v="P1014"/>
        <s v="P1015"/>
      </sharedItems>
    </cacheField>
    <cacheField name="Customer Age" numFmtId="0">
      <sharedItems containsSemiMixedTypes="0" containsString="0" containsNumber="1" containsInteger="1" minValue="18" maxValue="73"/>
    </cacheField>
    <cacheField name="Premium" numFmtId="0">
      <sharedItems containsSemiMixedTypes="0" containsString="0" containsNumber="1" containsInteger="1" minValue="15000" maxValue="62500"/>
    </cacheField>
    <cacheField name="Claim Amount" numFmtId="0">
      <sharedItems containsSemiMixedTypes="0" containsString="0" containsNumber="1" containsInteger="1" minValue="0" maxValue="15000"/>
    </cacheField>
    <cacheField name="Policy Type" numFmtId="0">
      <sharedItems count="4">
        <s v="Health"/>
        <s v="Life"/>
        <s v="Vehicle"/>
        <s v="H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23"/>
    <n v="15000"/>
    <n v="0"/>
    <x v="0"/>
  </r>
  <r>
    <x v="1"/>
    <n v="45"/>
    <n v="20000"/>
    <n v="0"/>
    <x v="1"/>
  </r>
  <r>
    <x v="2"/>
    <n v="34"/>
    <n v="34000"/>
    <n v="7000"/>
    <x v="2"/>
  </r>
  <r>
    <x v="3"/>
    <n v="18"/>
    <n v="21000"/>
    <n v="0"/>
    <x v="3"/>
  </r>
  <r>
    <x v="4"/>
    <n v="26"/>
    <n v="30500"/>
    <n v="4600"/>
    <x v="0"/>
  </r>
  <r>
    <x v="5"/>
    <n v="65"/>
    <n v="33700"/>
    <n v="500"/>
    <x v="1"/>
  </r>
  <r>
    <x v="6"/>
    <n v="73"/>
    <n v="36900"/>
    <n v="0"/>
    <x v="2"/>
  </r>
  <r>
    <x v="7"/>
    <n v="55"/>
    <n v="40100"/>
    <n v="2100"/>
    <x v="3"/>
  </r>
  <r>
    <x v="8"/>
    <n v="48"/>
    <n v="43300"/>
    <n v="0"/>
    <x v="0"/>
  </r>
  <r>
    <x v="9"/>
    <n v="35"/>
    <n v="46500"/>
    <n v="0"/>
    <x v="1"/>
  </r>
  <r>
    <x v="10"/>
    <n v="38"/>
    <n v="49700"/>
    <n v="0"/>
    <x v="2"/>
  </r>
  <r>
    <x v="11"/>
    <n v="21"/>
    <n v="52900"/>
    <n v="900"/>
    <x v="3"/>
  </r>
  <r>
    <x v="12"/>
    <n v="19"/>
    <n v="56100"/>
    <n v="0"/>
    <x v="0"/>
  </r>
  <r>
    <x v="13"/>
    <n v="20"/>
    <n v="59300"/>
    <n v="15000"/>
    <x v="1"/>
  </r>
  <r>
    <x v="14"/>
    <n v="52"/>
    <n v="62500"/>
    <n v="37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E3212-EA9F-4020-916A-A3636B54E55A}" name="PivotTable2" cacheId="31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2:E53" firstHeaderRow="0" firstDataRow="1" firstDataCol="2"/>
  <pivotFields count="5">
    <pivotField axis="axisRow"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axis="axisRow" compact="0" outline="0" showAll="0">
      <items count="5">
        <item x="0"/>
        <item x="3"/>
        <item x="1"/>
        <item x="2"/>
        <item t="default"/>
      </items>
    </pivotField>
  </pivotFields>
  <rowFields count="2">
    <field x="0"/>
    <field x="4"/>
  </rowFields>
  <rowItems count="31">
    <i>
      <x/>
      <x/>
    </i>
    <i t="default">
      <x/>
    </i>
    <i>
      <x v="1"/>
      <x v="2"/>
    </i>
    <i t="default">
      <x v="1"/>
    </i>
    <i>
      <x v="2"/>
      <x v="3"/>
    </i>
    <i t="default">
      <x v="2"/>
    </i>
    <i>
      <x v="3"/>
      <x v="1"/>
    </i>
    <i t="default">
      <x v="3"/>
    </i>
    <i>
      <x v="4"/>
      <x/>
    </i>
    <i t="default">
      <x v="4"/>
    </i>
    <i>
      <x v="5"/>
      <x v="2"/>
    </i>
    <i t="default">
      <x v="5"/>
    </i>
    <i>
      <x v="6"/>
      <x v="3"/>
    </i>
    <i t="default">
      <x v="6"/>
    </i>
    <i>
      <x v="7"/>
      <x v="1"/>
    </i>
    <i t="default">
      <x v="7"/>
    </i>
    <i>
      <x v="8"/>
      <x/>
    </i>
    <i t="default">
      <x v="8"/>
    </i>
    <i>
      <x v="9"/>
      <x v="2"/>
    </i>
    <i t="default">
      <x v="9"/>
    </i>
    <i>
      <x v="10"/>
      <x v="3"/>
    </i>
    <i t="default">
      <x v="10"/>
    </i>
    <i>
      <x v="11"/>
      <x v="1"/>
    </i>
    <i t="default">
      <x v="11"/>
    </i>
    <i>
      <x v="12"/>
      <x/>
    </i>
    <i t="default">
      <x v="12"/>
    </i>
    <i>
      <x v="13"/>
      <x v="2"/>
    </i>
    <i t="default">
      <x v="13"/>
    </i>
    <i>
      <x v="14"/>
      <x v="3"/>
    </i>
    <i t="default"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ustomer Age" fld="1" baseField="0" baseItem="0"/>
    <dataField name="Sum of Premium" fld="2" baseField="0" baseItem="0"/>
    <dataField name="Sum of Claim Amount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6EEA9-E37A-4375-ACA2-1C227BAFCB0D}" name="Table1" displayName="Table1" ref="A3:E18" totalsRowShown="0" headerRowDxfId="9" dataDxfId="8" headerRowBorderDxfId="6" tableBorderDxfId="7" totalsRowBorderDxfId="5">
  <autoFilter ref="A3:E18" xr:uid="{2916EEA9-E37A-4375-ACA2-1C227BAFCB0D}"/>
  <tableColumns count="5">
    <tableColumn id="1" xr3:uid="{B8CC8A76-84C3-4012-89C9-43C5BFA9FACF}" name="Policy Number" dataDxfId="4"/>
    <tableColumn id="2" xr3:uid="{9B24ED0D-C736-4587-BE87-CFD1582F62EC}" name="Customer Age" dataDxfId="3"/>
    <tableColumn id="3" xr3:uid="{B6B39C91-D840-45F4-8173-A3314BB1B0FD}" name="Premium" dataDxfId="2"/>
    <tableColumn id="4" xr3:uid="{78B9D30F-2C16-4ED6-83E2-3B289B5BFAF3}" name="Claim Amount" dataDxfId="1"/>
    <tableColumn id="5" xr3:uid="{58A74232-B2FF-4749-A6A3-02162916C743}" name="Policy Typ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L24" sqref="L24"/>
    </sheetView>
  </sheetViews>
  <sheetFormatPr defaultRowHeight="15"/>
  <cols>
    <col min="1" max="1" width="20.85546875" customWidth="1"/>
    <col min="2" max="2" width="19" customWidth="1"/>
    <col min="3" max="3" width="19.85546875" customWidth="1"/>
    <col min="4" max="4" width="21.7109375" customWidth="1"/>
    <col min="5" max="5" width="20" customWidth="1"/>
    <col min="8" max="8" width="26" customWidth="1"/>
    <col min="9" max="9" width="27" customWidth="1"/>
    <col min="11" max="11" width="33.140625" customWidth="1"/>
    <col min="12" max="12" width="27.85546875" customWidth="1"/>
  </cols>
  <sheetData>
    <row r="1" spans="1:12" ht="26.25">
      <c r="A1" s="26" t="s">
        <v>0</v>
      </c>
      <c r="B1" s="27"/>
      <c r="C1" s="27"/>
      <c r="D1" s="27"/>
      <c r="E1" s="28"/>
      <c r="H1" s="26" t="s">
        <v>1</v>
      </c>
      <c r="I1" s="27"/>
      <c r="J1" s="27"/>
      <c r="K1" s="27"/>
      <c r="L1" s="28"/>
    </row>
    <row r="3" spans="1:12" ht="18.75">
      <c r="A3" s="7" t="s">
        <v>2</v>
      </c>
      <c r="B3" s="8" t="s">
        <v>3</v>
      </c>
      <c r="C3" s="8" t="s">
        <v>4</v>
      </c>
      <c r="D3" s="8" t="s">
        <v>5</v>
      </c>
      <c r="E3" s="9" t="s">
        <v>6</v>
      </c>
      <c r="H3" s="19" t="s">
        <v>7</v>
      </c>
      <c r="I3" s="20"/>
      <c r="K3" s="19" t="s">
        <v>8</v>
      </c>
      <c r="L3" s="20"/>
    </row>
    <row r="4" spans="1:12">
      <c r="A4" s="2" t="s">
        <v>9</v>
      </c>
      <c r="B4" s="1">
        <v>23</v>
      </c>
      <c r="C4" s="1">
        <v>15000</v>
      </c>
      <c r="D4" s="1">
        <v>0</v>
      </c>
      <c r="E4" s="3" t="s">
        <v>10</v>
      </c>
      <c r="H4" s="10" t="s">
        <v>11</v>
      </c>
      <c r="I4" s="11">
        <f>MIN(D4:D20)</f>
        <v>0</v>
      </c>
      <c r="K4" s="10" t="s">
        <v>12</v>
      </c>
      <c r="L4" s="21">
        <f ca="1">NOW()</f>
        <v>46074.861318981479</v>
      </c>
    </row>
    <row r="5" spans="1:12">
      <c r="A5" s="2" t="s">
        <v>13</v>
      </c>
      <c r="B5" s="1">
        <v>45</v>
      </c>
      <c r="C5" s="1">
        <v>20000</v>
      </c>
      <c r="D5" s="1">
        <v>0</v>
      </c>
      <c r="E5" s="3" t="s">
        <v>14</v>
      </c>
      <c r="H5" s="12" t="s">
        <v>15</v>
      </c>
      <c r="I5" s="13">
        <f>MAX(C4:C18)</f>
        <v>62500</v>
      </c>
      <c r="K5" s="12" t="s">
        <v>16</v>
      </c>
      <c r="L5" s="22" t="e">
        <f ca="1">_xludf.DATEDIF</f>
        <v>#NAME?</v>
      </c>
    </row>
    <row r="6" spans="1:12">
      <c r="A6" s="2" t="s">
        <v>17</v>
      </c>
      <c r="B6" s="1">
        <v>34</v>
      </c>
      <c r="C6" s="1">
        <v>34000</v>
      </c>
      <c r="D6" s="1">
        <v>7000</v>
      </c>
      <c r="E6" s="3" t="s">
        <v>18</v>
      </c>
      <c r="H6" s="10" t="s">
        <v>19</v>
      </c>
      <c r="I6" s="11">
        <f>COUNT(B4:B18)</f>
        <v>15</v>
      </c>
      <c r="K6" s="14" t="s">
        <v>20</v>
      </c>
      <c r="L6" s="24">
        <f ca="1">TODAY()</f>
        <v>46074</v>
      </c>
    </row>
    <row r="7" spans="1:12">
      <c r="A7" s="2" t="s">
        <v>21</v>
      </c>
      <c r="B7" s="1">
        <v>18</v>
      </c>
      <c r="C7" s="1">
        <v>21000</v>
      </c>
      <c r="D7" s="1">
        <v>0</v>
      </c>
      <c r="E7" s="3" t="s">
        <v>22</v>
      </c>
      <c r="H7" s="12" t="s">
        <v>23</v>
      </c>
      <c r="I7" s="13">
        <f>SUM(B4:B18)</f>
        <v>572</v>
      </c>
    </row>
    <row r="8" spans="1:12">
      <c r="A8" s="2" t="s">
        <v>24</v>
      </c>
      <c r="B8" s="1">
        <v>26</v>
      </c>
      <c r="C8" s="1">
        <v>30500</v>
      </c>
      <c r="D8" s="1">
        <v>4600</v>
      </c>
      <c r="E8" s="3" t="s">
        <v>10</v>
      </c>
      <c r="H8" s="14" t="s">
        <v>25</v>
      </c>
      <c r="I8" s="15">
        <f>AVERAGE(D4:D18)</f>
        <v>2253.3333333333335</v>
      </c>
      <c r="K8" s="19" t="s">
        <v>26</v>
      </c>
      <c r="L8" s="20"/>
    </row>
    <row r="9" spans="1:12" ht="19.5">
      <c r="A9" s="2" t="s">
        <v>27</v>
      </c>
      <c r="B9" s="1">
        <v>65</v>
      </c>
      <c r="C9" s="1">
        <v>33700</v>
      </c>
      <c r="D9" s="1">
        <v>500</v>
      </c>
      <c r="E9" s="3" t="s">
        <v>14</v>
      </c>
      <c r="H9" s="16"/>
      <c r="K9" s="10" t="s">
        <v>28</v>
      </c>
      <c r="L9" s="29">
        <f>PMT(5%/12, 60, I5)</f>
        <v>-1179.4521027506833</v>
      </c>
    </row>
    <row r="10" spans="1:12">
      <c r="A10" s="2" t="s">
        <v>29</v>
      </c>
      <c r="B10" s="1">
        <v>73</v>
      </c>
      <c r="C10" s="1">
        <v>36900</v>
      </c>
      <c r="D10" s="1">
        <v>0</v>
      </c>
      <c r="E10" s="3" t="s">
        <v>18</v>
      </c>
      <c r="H10" s="19" t="s">
        <v>30</v>
      </c>
      <c r="I10" s="20"/>
      <c r="K10" s="17" t="s">
        <v>31</v>
      </c>
      <c r="L10" s="30">
        <f>NPV(5%,C4:C18)</f>
        <v>386222.85908425477</v>
      </c>
    </row>
    <row r="11" spans="1:12">
      <c r="A11" s="2" t="s">
        <v>32</v>
      </c>
      <c r="B11" s="1">
        <v>55</v>
      </c>
      <c r="C11" s="1">
        <v>40100</v>
      </c>
      <c r="D11" s="1">
        <v>2100</v>
      </c>
      <c r="E11" s="3" t="s">
        <v>22</v>
      </c>
      <c r="H11" s="10" t="s">
        <v>33</v>
      </c>
      <c r="I11" s="21" t="str">
        <f>IF(D4&gt; 25000,"Maximum","Minimum" )</f>
        <v>Minimum</v>
      </c>
      <c r="K11" s="18"/>
    </row>
    <row r="12" spans="1:12">
      <c r="A12" s="2" t="s">
        <v>34</v>
      </c>
      <c r="B12" s="1">
        <v>48</v>
      </c>
      <c r="C12" s="1">
        <v>43300</v>
      </c>
      <c r="D12" s="1">
        <v>0</v>
      </c>
      <c r="E12" s="3" t="s">
        <v>10</v>
      </c>
      <c r="H12" s="12" t="s">
        <v>35</v>
      </c>
      <c r="I12" s="13" t="b">
        <f>AND(C4&gt;20000,C6&lt;20000)</f>
        <v>0</v>
      </c>
      <c r="K12" s="19" t="s">
        <v>36</v>
      </c>
      <c r="L12" s="20"/>
    </row>
    <row r="13" spans="1:12">
      <c r="A13" s="2" t="s">
        <v>37</v>
      </c>
      <c r="B13" s="1">
        <v>35</v>
      </c>
      <c r="C13" s="1">
        <v>46500</v>
      </c>
      <c r="D13" s="1">
        <v>0</v>
      </c>
      <c r="E13" s="3" t="s">
        <v>14</v>
      </c>
      <c r="H13" s="14" t="s">
        <v>38</v>
      </c>
      <c r="I13" s="15" t="b">
        <f>OR( D4&gt;20000,D6&lt;20000)</f>
        <v>1</v>
      </c>
      <c r="K13" s="10" t="s">
        <v>39</v>
      </c>
      <c r="L13" s="21">
        <f>AVERAGE(C4:C18)</f>
        <v>40100</v>
      </c>
    </row>
    <row r="14" spans="1:12">
      <c r="A14" s="2" t="s">
        <v>40</v>
      </c>
      <c r="B14" s="1">
        <v>38</v>
      </c>
      <c r="C14" s="1">
        <v>49700</v>
      </c>
      <c r="D14" s="1">
        <v>0</v>
      </c>
      <c r="E14" s="3" t="s">
        <v>18</v>
      </c>
      <c r="H14" s="18"/>
      <c r="K14" s="12" t="s">
        <v>41</v>
      </c>
      <c r="L14" s="22" t="e">
        <f>MODE(B4:B18)</f>
        <v>#N/A</v>
      </c>
    </row>
    <row r="15" spans="1:12">
      <c r="A15" s="2" t="s">
        <v>42</v>
      </c>
      <c r="B15" s="1">
        <v>21</v>
      </c>
      <c r="C15" s="1">
        <v>52900</v>
      </c>
      <c r="D15" s="1">
        <v>900</v>
      </c>
      <c r="E15" s="3" t="s">
        <v>22</v>
      </c>
      <c r="H15" s="18"/>
      <c r="K15" s="10" t="s">
        <v>43</v>
      </c>
      <c r="L15" s="21">
        <f>MEDIAN(D4:D18)</f>
        <v>0</v>
      </c>
    </row>
    <row r="16" spans="1:12">
      <c r="A16" s="2" t="s">
        <v>44</v>
      </c>
      <c r="B16" s="1">
        <v>19</v>
      </c>
      <c r="C16" s="1">
        <v>56100</v>
      </c>
      <c r="D16" s="1">
        <v>0</v>
      </c>
      <c r="E16" s="3" t="s">
        <v>10</v>
      </c>
      <c r="H16" s="19" t="s">
        <v>45</v>
      </c>
      <c r="I16" s="20"/>
      <c r="K16" s="12" t="s">
        <v>46</v>
      </c>
      <c r="L16" s="22">
        <f>_xlfn.STDEV.S(D4:D18)</f>
        <v>4124.4682196906415</v>
      </c>
    </row>
    <row r="17" spans="1:12" ht="29.25">
      <c r="A17" s="2" t="s">
        <v>47</v>
      </c>
      <c r="B17" s="1">
        <v>20</v>
      </c>
      <c r="C17" s="1">
        <v>59300</v>
      </c>
      <c r="D17" s="1">
        <v>15000</v>
      </c>
      <c r="E17" s="3" t="s">
        <v>14</v>
      </c>
      <c r="H17" s="10" t="s">
        <v>48</v>
      </c>
      <c r="I17" s="21" t="str">
        <f>LEFT(C7,3)</f>
        <v>210</v>
      </c>
      <c r="K17" s="25" t="s">
        <v>49</v>
      </c>
      <c r="L17" s="21">
        <f>CORREL(D4:D18,C4:C18)</f>
        <v>0.34510932746433876</v>
      </c>
    </row>
    <row r="18" spans="1:12">
      <c r="A18" s="4" t="s">
        <v>50</v>
      </c>
      <c r="B18" s="5">
        <v>52</v>
      </c>
      <c r="C18" s="5">
        <v>62500</v>
      </c>
      <c r="D18" s="5">
        <v>3700</v>
      </c>
      <c r="E18" s="6" t="s">
        <v>18</v>
      </c>
      <c r="H18" s="12" t="s">
        <v>51</v>
      </c>
      <c r="I18" s="22" t="str">
        <f>RIGHT(C10,4)</f>
        <v>6900</v>
      </c>
      <c r="K18" s="17"/>
      <c r="L18" s="23"/>
    </row>
    <row r="19" spans="1:12">
      <c r="H19" s="10" t="s">
        <v>52</v>
      </c>
      <c r="I19" s="21" t="str">
        <f>MID(B8,2,3)</f>
        <v>6</v>
      </c>
    </row>
    <row r="20" spans="1:12">
      <c r="H20" s="17" t="s">
        <v>53</v>
      </c>
      <c r="I20" s="23" t="str">
        <f>_xlfn.CONCAT(B18,"_",C18)</f>
        <v>52_62500</v>
      </c>
      <c r="K20" s="19" t="s">
        <v>54</v>
      </c>
      <c r="L20" s="20"/>
    </row>
    <row r="21" spans="1:12">
      <c r="A21" s="33" t="s">
        <v>55</v>
      </c>
      <c r="K21" s="10" t="s">
        <v>56</v>
      </c>
      <c r="L21" s="21">
        <f>VLOOKUP(A4, A4:E18,3, FALSE)</f>
        <v>15000</v>
      </c>
    </row>
    <row r="22" spans="1:12">
      <c r="A22" s="31" t="s">
        <v>2</v>
      </c>
      <c r="B22" s="31" t="s">
        <v>6</v>
      </c>
      <c r="C22" t="s">
        <v>57</v>
      </c>
      <c r="D22" t="s">
        <v>58</v>
      </c>
      <c r="E22" t="s">
        <v>59</v>
      </c>
      <c r="K22" s="12" t="s">
        <v>60</v>
      </c>
      <c r="L22" s="22">
        <f>HLOOKUP(B4,A4:D18,4,FALSE)</f>
        <v>18</v>
      </c>
    </row>
    <row r="23" spans="1:12">
      <c r="A23" t="s">
        <v>9</v>
      </c>
      <c r="B23" t="s">
        <v>10</v>
      </c>
      <c r="C23" s="32">
        <v>23</v>
      </c>
      <c r="D23" s="32">
        <v>15000</v>
      </c>
      <c r="E23" s="32">
        <v>0</v>
      </c>
      <c r="K23" s="14" t="s">
        <v>61</v>
      </c>
      <c r="L23" s="24" t="e">
        <f>HLOOKUP("P1001", B4:D18, 3, FALSE)</f>
        <v>#N/A</v>
      </c>
    </row>
    <row r="24" spans="1:12">
      <c r="A24" t="s">
        <v>62</v>
      </c>
      <c r="C24" s="32">
        <v>23</v>
      </c>
      <c r="D24" s="32">
        <v>15000</v>
      </c>
      <c r="E24" s="32">
        <v>0</v>
      </c>
    </row>
    <row r="25" spans="1:12">
      <c r="A25" t="s">
        <v>13</v>
      </c>
      <c r="B25" t="s">
        <v>14</v>
      </c>
      <c r="C25" s="32">
        <v>45</v>
      </c>
      <c r="D25" s="32">
        <v>20000</v>
      </c>
      <c r="E25" s="32">
        <v>0</v>
      </c>
    </row>
    <row r="26" spans="1:12">
      <c r="A26" t="s">
        <v>63</v>
      </c>
      <c r="C26" s="32">
        <v>45</v>
      </c>
      <c r="D26" s="32">
        <v>20000</v>
      </c>
      <c r="E26" s="32">
        <v>0</v>
      </c>
    </row>
    <row r="27" spans="1:12">
      <c r="A27" t="s">
        <v>17</v>
      </c>
      <c r="B27" t="s">
        <v>18</v>
      </c>
      <c r="C27" s="32">
        <v>34</v>
      </c>
      <c r="D27" s="32">
        <v>34000</v>
      </c>
      <c r="E27" s="32">
        <v>7000</v>
      </c>
      <c r="H27" s="34" t="s">
        <v>64</v>
      </c>
    </row>
    <row r="28" spans="1:12">
      <c r="A28" t="s">
        <v>65</v>
      </c>
      <c r="C28" s="32">
        <v>34</v>
      </c>
      <c r="D28" s="32">
        <v>34000</v>
      </c>
      <c r="E28" s="32">
        <v>7000</v>
      </c>
    </row>
    <row r="29" spans="1:12">
      <c r="A29" t="s">
        <v>21</v>
      </c>
      <c r="B29" t="s">
        <v>22</v>
      </c>
      <c r="C29" s="32">
        <v>18</v>
      </c>
      <c r="D29" s="32">
        <v>21000</v>
      </c>
      <c r="E29" s="32">
        <v>0</v>
      </c>
    </row>
    <row r="30" spans="1:12">
      <c r="A30" t="s">
        <v>66</v>
      </c>
      <c r="C30" s="32">
        <v>18</v>
      </c>
      <c r="D30" s="32">
        <v>21000</v>
      </c>
      <c r="E30" s="32">
        <v>0</v>
      </c>
    </row>
    <row r="31" spans="1:12">
      <c r="A31" t="s">
        <v>24</v>
      </c>
      <c r="B31" t="s">
        <v>10</v>
      </c>
      <c r="C31" s="32">
        <v>26</v>
      </c>
      <c r="D31" s="32">
        <v>30500</v>
      </c>
      <c r="E31" s="32">
        <v>4600</v>
      </c>
    </row>
    <row r="32" spans="1:12">
      <c r="A32" t="s">
        <v>67</v>
      </c>
      <c r="C32" s="32">
        <v>26</v>
      </c>
      <c r="D32" s="32">
        <v>30500</v>
      </c>
      <c r="E32" s="32">
        <v>4600</v>
      </c>
    </row>
    <row r="33" spans="1:5">
      <c r="A33" t="s">
        <v>27</v>
      </c>
      <c r="B33" t="s">
        <v>14</v>
      </c>
      <c r="C33" s="32">
        <v>65</v>
      </c>
      <c r="D33" s="32">
        <v>33700</v>
      </c>
      <c r="E33" s="32">
        <v>500</v>
      </c>
    </row>
    <row r="34" spans="1:5">
      <c r="A34" t="s">
        <v>68</v>
      </c>
      <c r="C34" s="32">
        <v>65</v>
      </c>
      <c r="D34" s="32">
        <v>33700</v>
      </c>
      <c r="E34" s="32">
        <v>500</v>
      </c>
    </row>
    <row r="35" spans="1:5">
      <c r="A35" t="s">
        <v>29</v>
      </c>
      <c r="B35" t="s">
        <v>18</v>
      </c>
      <c r="C35" s="32">
        <v>73</v>
      </c>
      <c r="D35" s="32">
        <v>36900</v>
      </c>
      <c r="E35" s="32">
        <v>0</v>
      </c>
    </row>
    <row r="36" spans="1:5">
      <c r="A36" t="s">
        <v>69</v>
      </c>
      <c r="C36" s="32">
        <v>73</v>
      </c>
      <c r="D36" s="32">
        <v>36900</v>
      </c>
      <c r="E36" s="32">
        <v>0</v>
      </c>
    </row>
    <row r="37" spans="1:5">
      <c r="A37" t="s">
        <v>32</v>
      </c>
      <c r="B37" t="s">
        <v>22</v>
      </c>
      <c r="C37" s="32">
        <v>55</v>
      </c>
      <c r="D37" s="32">
        <v>40100</v>
      </c>
      <c r="E37" s="32">
        <v>2100</v>
      </c>
    </row>
    <row r="38" spans="1:5">
      <c r="A38" t="s">
        <v>70</v>
      </c>
      <c r="C38" s="32">
        <v>55</v>
      </c>
      <c r="D38" s="32">
        <v>40100</v>
      </c>
      <c r="E38" s="32">
        <v>2100</v>
      </c>
    </row>
    <row r="39" spans="1:5">
      <c r="A39" t="s">
        <v>34</v>
      </c>
      <c r="B39" t="s">
        <v>10</v>
      </c>
      <c r="C39" s="32">
        <v>48</v>
      </c>
      <c r="D39" s="32">
        <v>43300</v>
      </c>
      <c r="E39" s="32">
        <v>0</v>
      </c>
    </row>
    <row r="40" spans="1:5">
      <c r="A40" t="s">
        <v>71</v>
      </c>
      <c r="C40" s="32">
        <v>48</v>
      </c>
      <c r="D40" s="32">
        <v>43300</v>
      </c>
      <c r="E40" s="32">
        <v>0</v>
      </c>
    </row>
    <row r="41" spans="1:5">
      <c r="A41" t="s">
        <v>37</v>
      </c>
      <c r="B41" t="s">
        <v>14</v>
      </c>
      <c r="C41" s="32">
        <v>35</v>
      </c>
      <c r="D41" s="32">
        <v>46500</v>
      </c>
      <c r="E41" s="32">
        <v>0</v>
      </c>
    </row>
    <row r="42" spans="1:5">
      <c r="A42" t="s">
        <v>72</v>
      </c>
      <c r="C42" s="32">
        <v>35</v>
      </c>
      <c r="D42" s="32">
        <v>46500</v>
      </c>
      <c r="E42" s="32">
        <v>0</v>
      </c>
    </row>
    <row r="43" spans="1:5">
      <c r="A43" t="s">
        <v>40</v>
      </c>
      <c r="B43" t="s">
        <v>18</v>
      </c>
      <c r="C43" s="32">
        <v>38</v>
      </c>
      <c r="D43" s="32">
        <v>49700</v>
      </c>
      <c r="E43" s="32">
        <v>0</v>
      </c>
    </row>
    <row r="44" spans="1:5">
      <c r="A44" t="s">
        <v>73</v>
      </c>
      <c r="C44" s="32">
        <v>38</v>
      </c>
      <c r="D44" s="32">
        <v>49700</v>
      </c>
      <c r="E44" s="32">
        <v>0</v>
      </c>
    </row>
    <row r="45" spans="1:5">
      <c r="A45" t="s">
        <v>42</v>
      </c>
      <c r="B45" t="s">
        <v>22</v>
      </c>
      <c r="C45" s="32">
        <v>21</v>
      </c>
      <c r="D45" s="32">
        <v>52900</v>
      </c>
      <c r="E45" s="32">
        <v>900</v>
      </c>
    </row>
    <row r="46" spans="1:5">
      <c r="A46" t="s">
        <v>74</v>
      </c>
      <c r="C46" s="32">
        <v>21</v>
      </c>
      <c r="D46" s="32">
        <v>52900</v>
      </c>
      <c r="E46" s="32">
        <v>900</v>
      </c>
    </row>
    <row r="47" spans="1:5">
      <c r="A47" t="s">
        <v>44</v>
      </c>
      <c r="B47" t="s">
        <v>10</v>
      </c>
      <c r="C47" s="32">
        <v>19</v>
      </c>
      <c r="D47" s="32">
        <v>56100</v>
      </c>
      <c r="E47" s="32">
        <v>0</v>
      </c>
    </row>
    <row r="48" spans="1:5">
      <c r="A48" t="s">
        <v>75</v>
      </c>
      <c r="C48" s="32">
        <v>19</v>
      </c>
      <c r="D48" s="32">
        <v>56100</v>
      </c>
      <c r="E48" s="32">
        <v>0</v>
      </c>
    </row>
    <row r="49" spans="1:5">
      <c r="A49" t="s">
        <v>47</v>
      </c>
      <c r="B49" t="s">
        <v>14</v>
      </c>
      <c r="C49" s="32">
        <v>20</v>
      </c>
      <c r="D49" s="32">
        <v>59300</v>
      </c>
      <c r="E49" s="32">
        <v>15000</v>
      </c>
    </row>
    <row r="50" spans="1:5">
      <c r="A50" t="s">
        <v>76</v>
      </c>
      <c r="C50" s="32">
        <v>20</v>
      </c>
      <c r="D50" s="32">
        <v>59300</v>
      </c>
      <c r="E50" s="32">
        <v>15000</v>
      </c>
    </row>
    <row r="51" spans="1:5">
      <c r="A51" t="s">
        <v>50</v>
      </c>
      <c r="B51" t="s">
        <v>18</v>
      </c>
      <c r="C51" s="32">
        <v>52</v>
      </c>
      <c r="D51" s="32">
        <v>62500</v>
      </c>
      <c r="E51" s="32">
        <v>3700</v>
      </c>
    </row>
    <row r="52" spans="1:5">
      <c r="A52" t="s">
        <v>77</v>
      </c>
      <c r="C52" s="32">
        <v>52</v>
      </c>
      <c r="D52" s="32">
        <v>62500</v>
      </c>
      <c r="E52" s="32">
        <v>3700</v>
      </c>
    </row>
    <row r="53" spans="1:5">
      <c r="A53" t="s">
        <v>78</v>
      </c>
      <c r="C53" s="32">
        <v>572</v>
      </c>
      <c r="D53" s="32">
        <v>601500</v>
      </c>
      <c r="E53" s="32">
        <v>33800</v>
      </c>
    </row>
  </sheetData>
  <mergeCells count="9">
    <mergeCell ref="H16:I16"/>
    <mergeCell ref="K20:L20"/>
    <mergeCell ref="A1:E1"/>
    <mergeCell ref="H1:L1"/>
    <mergeCell ref="H3:I3"/>
    <mergeCell ref="K3:L3"/>
    <mergeCell ref="K8:L8"/>
    <mergeCell ref="H10:I10"/>
    <mergeCell ref="K12:L12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2026-02-21T14:36:37Z</dcterms:created>
  <dcterms:modified xsi:type="dcterms:W3CDTF">2026-02-21T15:11:05Z</dcterms:modified>
  <cp:category/>
  <cp:contentStatus/>
</cp:coreProperties>
</file>