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CDC681E5-854C-49FA-B2E8-7E6C7D767B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R" sheetId="1" r:id="rId1"/>
  </sheets>
  <calcPr calcId="191028"/>
  <pivotCaches>
    <pivotCache cacheId="2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38" i="1"/>
  <c r="J37" i="1"/>
  <c r="J36" i="1"/>
  <c r="J32" i="1"/>
  <c r="J31" i="1"/>
  <c r="I4" i="1"/>
  <c r="J26" i="1"/>
  <c r="J25" i="1"/>
  <c r="J21" i="1"/>
  <c r="J20" i="1"/>
  <c r="J19" i="1"/>
  <c r="J18" i="1"/>
  <c r="J14" i="1"/>
  <c r="J13" i="1"/>
  <c r="J12" i="1"/>
  <c r="I8" i="1"/>
  <c r="I7" i="1"/>
  <c r="I6" i="1"/>
  <c r="I5" i="1"/>
</calcChain>
</file>

<file path=xl/sharedStrings.xml><?xml version="1.0" encoding="utf-8"?>
<sst xmlns="http://schemas.openxmlformats.org/spreadsheetml/2006/main" count="91" uniqueCount="55">
  <si>
    <t>Employee ID</t>
  </si>
  <si>
    <t>Department</t>
  </si>
  <si>
    <t>Salary</t>
  </si>
  <si>
    <t>Experience</t>
  </si>
  <si>
    <t>Attrition</t>
  </si>
  <si>
    <t>Mathematical Functions</t>
  </si>
  <si>
    <t>Column1</t>
  </si>
  <si>
    <t>Sales</t>
  </si>
  <si>
    <t>yes</t>
  </si>
  <si>
    <t xml:space="preserve">Total salary amount = </t>
  </si>
  <si>
    <t>Marketing</t>
  </si>
  <si>
    <t>no</t>
  </si>
  <si>
    <t>Minimum salary  =</t>
  </si>
  <si>
    <t>Finance</t>
  </si>
  <si>
    <t>Maximum salary =</t>
  </si>
  <si>
    <t>HR</t>
  </si>
  <si>
    <t>Count of salary =</t>
  </si>
  <si>
    <t>IT</t>
  </si>
  <si>
    <t>Average Salary</t>
  </si>
  <si>
    <t>Logical functions</t>
  </si>
  <si>
    <t>IF</t>
  </si>
  <si>
    <t>AND</t>
  </si>
  <si>
    <t>OR</t>
  </si>
  <si>
    <t>Text functions</t>
  </si>
  <si>
    <t>LEFT</t>
  </si>
  <si>
    <t>RIGHT</t>
  </si>
  <si>
    <t>PIVOT TABLE</t>
  </si>
  <si>
    <t>MID</t>
  </si>
  <si>
    <t>CONCAT</t>
  </si>
  <si>
    <t>Sum of Employee ID</t>
  </si>
  <si>
    <t>Sum of Salary</t>
  </si>
  <si>
    <t>Sum of Experience</t>
  </si>
  <si>
    <t>Finance Total</t>
  </si>
  <si>
    <t>Data functions</t>
  </si>
  <si>
    <t>TODAY</t>
  </si>
  <si>
    <t>HR Total</t>
  </si>
  <si>
    <t>NOW</t>
  </si>
  <si>
    <t>DATEDIF</t>
  </si>
  <si>
    <t>IT Total</t>
  </si>
  <si>
    <t>Marketing Total</t>
  </si>
  <si>
    <t>Financial functions</t>
  </si>
  <si>
    <t>PMT</t>
  </si>
  <si>
    <t>Sales Total</t>
  </si>
  <si>
    <t>NPV</t>
  </si>
  <si>
    <t>Grand Total</t>
  </si>
  <si>
    <t>Lookup functions</t>
  </si>
  <si>
    <t>VLOOUP</t>
  </si>
  <si>
    <t>HLOOKUP</t>
  </si>
  <si>
    <t>XLOOKUP</t>
  </si>
  <si>
    <t>Statistical functions</t>
  </si>
  <si>
    <t>MEAN</t>
  </si>
  <si>
    <t>MEDIAN</t>
  </si>
  <si>
    <t>MODE</t>
  </si>
  <si>
    <t>STANDARD DEVIATION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</si>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</sst>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9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4" xfId="0" applyFont="1" applyFill="1" applyBorder="1"/>
    <xf numFmtId="0" fontId="4" fillId="3" borderId="6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3" fillId="3" borderId="0" xfId="0" applyFont="1" applyFill="1"/>
    <xf numFmtId="14" fontId="6" fillId="3" borderId="1" xfId="0" applyNumberFormat="1" applyFont="1" applyFill="1" applyBorder="1" applyAlignment="1">
      <alignment horizontal="left"/>
    </xf>
    <xf numFmtId="22" fontId="6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0" xfId="0" applyNumberFormat="1"/>
    <xf numFmtId="0" fontId="0" fillId="0" borderId="0" xfId="0" pivotButton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theme="8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[MAPAssignment5.xlsx]HR!PivotTable2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 EMPLOYEE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HR!$D$22</c:f>
              <c:strCache>
                <c:ptCount val="1"/>
                <c:pt idx="0">
                  <c:v>Sum of Employee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HR!$B$23:$C$33</c:f>
              <c:multiLvlStrCache>
                <c:ptCount val="5"/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</c:lvl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HR!$D$23:$D$33</c:f>
              <c:numCache>
                <c:formatCode>General</c:formatCode>
                <c:ptCount val="5"/>
                <c:pt idx="0">
                  <c:v>324</c:v>
                </c:pt>
                <c:pt idx="1">
                  <c:v>327</c:v>
                </c:pt>
                <c:pt idx="2">
                  <c:v>330</c:v>
                </c:pt>
                <c:pt idx="3">
                  <c:v>321</c:v>
                </c:pt>
                <c:pt idx="4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0-4B6E-953A-86D6AE3BAA16}"/>
            </c:ext>
          </c:extLst>
        </c:ser>
        <c:ser>
          <c:idx val="1"/>
          <c:order val="1"/>
          <c:tx>
            <c:strRef>
              <c:f>HR!$E$22</c:f>
              <c:strCache>
                <c:ptCount val="1"/>
                <c:pt idx="0">
                  <c:v>Sum of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HR!$B$23:$C$33</c:f>
              <c:multiLvlStrCache>
                <c:ptCount val="5"/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</c:lvl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HR!$E$23:$E$33</c:f>
              <c:numCache>
                <c:formatCode>General</c:formatCode>
                <c:ptCount val="5"/>
                <c:pt idx="0">
                  <c:v>180000</c:v>
                </c:pt>
                <c:pt idx="1">
                  <c:v>144000</c:v>
                </c:pt>
                <c:pt idx="2">
                  <c:v>210000</c:v>
                </c:pt>
                <c:pt idx="3">
                  <c:v>156000</c:v>
                </c:pt>
                <c:pt idx="4">
                  <c:v>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0-4B6E-953A-86D6AE3BAA16}"/>
            </c:ext>
          </c:extLst>
        </c:ser>
        <c:ser>
          <c:idx val="2"/>
          <c:order val="2"/>
          <c:tx>
            <c:strRef>
              <c:f>HR!$F$22</c:f>
              <c:strCache>
                <c:ptCount val="1"/>
                <c:pt idx="0">
                  <c:v>Sum of Experience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HR!$B$23:$C$33</c:f>
              <c:multiLvlStrCache>
                <c:ptCount val="5"/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yes</c:v>
                  </c:pt>
                </c:lvl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HR!$F$23:$F$33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6</c:v>
                </c:pt>
                <c:pt idx="3">
                  <c:v>15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0-4B6E-953A-86D6AE3BA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859591"/>
        <c:axId val="1396851719"/>
      </c:lineChart>
      <c:catAx>
        <c:axId val="139385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1719"/>
        <c:crosses val="autoZero"/>
        <c:auto val="1"/>
        <c:lblAlgn val="ctr"/>
        <c:lblOffset val="100"/>
        <c:noMultiLvlLbl val="0"/>
      </c:catAx>
      <c:valAx>
        <c:axId val="139685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5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28575</xdr:rowOff>
    </xdr:from>
    <xdr:to>
      <xdr:col>6</xdr:col>
      <xdr:colOff>9525</xdr:colOff>
      <xdr:row>1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D0996C-7466-63D3-4D0C-7A88080A305D}"/>
            </a:ext>
          </a:extLst>
        </xdr:cNvPr>
        <xdr:cNvSpPr txBox="1"/>
      </xdr:nvSpPr>
      <xdr:spPr>
        <a:xfrm>
          <a:off x="619125" y="28575"/>
          <a:ext cx="55816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latin typeface="Bookman Old Style" panose="02050604050505020204" pitchFamily="18" charset="0"/>
            </a:rPr>
            <a:t>HR Employee Dataset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14</xdr:col>
      <xdr:colOff>333375</xdr:colOff>
      <xdr:row>1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E1D13E-4E17-4DD3-9636-96D71530F304}"/>
            </a:ext>
            <a:ext uri="{147F2762-F138-4A5C-976F-8EAC2B608ADB}">
              <a16:predDERef xmlns:a16="http://schemas.microsoft.com/office/drawing/2014/main" pred="{6CD0996C-7466-63D3-4D0C-7A88080A305D}"/>
            </a:ext>
          </a:extLst>
        </xdr:cNvPr>
        <xdr:cNvSpPr txBox="1"/>
      </xdr:nvSpPr>
      <xdr:spPr>
        <a:xfrm>
          <a:off x="6953250" y="0"/>
          <a:ext cx="57340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rgbClr val="000000"/>
              </a:solidFill>
              <a:latin typeface="Bookman Old Style" panose="02050604050505020204" pitchFamily="18" charset="0"/>
            </a:rPr>
            <a:t>EXCEL FUNCTIONS</a:t>
          </a:r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5</xdr:col>
      <xdr:colOff>0</xdr:colOff>
      <xdr:row>50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EB64E2-8E5F-72B4-C99C-BFFDEDBCD6B5}"/>
            </a:ext>
            <a:ext uri="{147F2762-F138-4A5C-976F-8EAC2B608ADB}">
              <a16:predDERef xmlns:a16="http://schemas.microsoft.com/office/drawing/2014/main" pred="{89E1D13E-4E17-4DD3-9636-96D71530F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901597337965" createdVersion="8" refreshedVersion="8" minRefreshableVersion="3" recordCount="15" xr:uid="{285575C9-CFF9-44C2-A4C6-4698C2ECF934}">
  <cacheSource type="worksheet">
    <worksheetSource name="Table2"/>
  </cacheSource>
  <cacheFields count="5">
    <cacheField name="Employee ID" numFmtId="0">
      <sharedItems containsSemiMixedTypes="0" containsString="0" containsNumber="1" containsInteger="1" minValue="101" maxValue="115"/>
    </cacheField>
    <cacheField name="Department" numFmtId="0">
      <sharedItems count="5">
        <s v="Sales"/>
        <s v="Marketing"/>
        <s v="Finance"/>
        <s v="HR"/>
        <s v="IT"/>
      </sharedItems>
    </cacheField>
    <cacheField name="Salary" numFmtId="0">
      <sharedItems containsSemiMixedTypes="0" containsString="0" containsNumber="1" containsInteger="1" minValue="45000" maxValue="70000"/>
    </cacheField>
    <cacheField name="Experience" numFmtId="0">
      <sharedItems containsSemiMixedTypes="0" containsString="0" containsNumber="1" containsInteger="1" minValue="2" maxValue="6"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n v="45000"/>
    <n v="3"/>
    <x v="0"/>
  </r>
  <r>
    <n v="102"/>
    <x v="1"/>
    <n v="52000"/>
    <n v="5"/>
    <x v="1"/>
  </r>
  <r>
    <n v="103"/>
    <x v="2"/>
    <n v="60000"/>
    <n v="4"/>
    <x v="0"/>
  </r>
  <r>
    <n v="104"/>
    <x v="3"/>
    <n v="48000"/>
    <n v="6"/>
    <x v="0"/>
  </r>
  <r>
    <n v="105"/>
    <x v="4"/>
    <n v="70000"/>
    <n v="2"/>
    <x v="1"/>
  </r>
  <r>
    <n v="106"/>
    <x v="0"/>
    <n v="45000"/>
    <n v="3"/>
    <x v="0"/>
  </r>
  <r>
    <n v="107"/>
    <x v="1"/>
    <n v="52000"/>
    <n v="5"/>
    <x v="1"/>
  </r>
  <r>
    <n v="108"/>
    <x v="2"/>
    <n v="60000"/>
    <n v="4"/>
    <x v="0"/>
  </r>
  <r>
    <n v="109"/>
    <x v="3"/>
    <n v="48000"/>
    <n v="6"/>
    <x v="0"/>
  </r>
  <r>
    <n v="110"/>
    <x v="4"/>
    <n v="70000"/>
    <n v="2"/>
    <x v="1"/>
  </r>
  <r>
    <n v="111"/>
    <x v="0"/>
    <n v="45000"/>
    <n v="3"/>
    <x v="0"/>
  </r>
  <r>
    <n v="112"/>
    <x v="1"/>
    <n v="52000"/>
    <n v="5"/>
    <x v="1"/>
  </r>
  <r>
    <n v="113"/>
    <x v="2"/>
    <n v="60000"/>
    <n v="4"/>
    <x v="0"/>
  </r>
  <r>
    <n v="114"/>
    <x v="3"/>
    <n v="48000"/>
    <n v="6"/>
    <x v="0"/>
  </r>
  <r>
    <n v="115"/>
    <x v="4"/>
    <n v="70000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03F33-0C55-4442-897E-03404AEA53A2}" name="PivotTable2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2:F33" firstHeaderRow="0" firstDataRow="1" firstDataCol="2"/>
  <pivotFields count="5">
    <pivotField dataField="1" compact="0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1"/>
    <field x="4"/>
  </rowFields>
  <rowItems count="11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>
      <x v="3"/>
      <x/>
    </i>
    <i t="default">
      <x v="3"/>
    </i>
    <i>
      <x v="4"/>
      <x v="1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mployee ID" fld="0" baseField="0" baseItem="0"/>
    <dataField name="Sum of Salary" fld="2" baseField="0" baseItem="0"/>
    <dataField name="Sum of Experienc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82A395-105F-49A6-A6AC-6F34583594CD}" name="Table2" displayName="Table2" ref="B3:F18" totalsRowShown="0" headerRowDxfId="15" dataDxfId="14" headerRowBorderDxfId="12" tableBorderDxfId="13" totalsRowBorderDxfId="11">
  <autoFilter ref="B3:F18" xr:uid="{4082A395-105F-49A6-A6AC-6F34583594CD}"/>
  <tableColumns count="5">
    <tableColumn id="1" xr3:uid="{B9BC3831-0C6E-4C2A-9CB5-7550BBFD3633}" name="Employee ID" dataDxfId="10"/>
    <tableColumn id="2" xr3:uid="{DC918735-BA7A-4DC6-895F-50A12C309FD6}" name="Department" dataDxfId="9"/>
    <tableColumn id="3" xr3:uid="{715872C9-581F-4563-87E2-13EA811B8BAF}" name="Salary" dataDxfId="8"/>
    <tableColumn id="4" xr3:uid="{81F46DBD-67CF-4EFC-90A1-453D7EEC0723}" name="Experience" dataDxfId="7"/>
    <tableColumn id="5" xr3:uid="{A70E1757-F137-447C-B194-13B4F34D97F5}" name="Attrition" dataDxfId="6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474DD7-344F-48F9-BFEE-FE71E5F02DFE}" name="Table4" displayName="Table4" ref="H3:I8" totalsRowShown="0" headerRowDxfId="5" dataDxfId="4" headerRowBorderDxfId="2" tableBorderDxfId="3">
  <autoFilter ref="H3:I8" xr:uid="{B6474DD7-344F-48F9-BFEE-FE71E5F02DFE}"/>
  <tableColumns count="2">
    <tableColumn id="1" xr3:uid="{75EE3539-9A91-432B-A56C-28DD0A20D5A0}" name="Mathematical Functions" dataDxfId="1"/>
    <tableColumn id="2" xr3:uid="{E8715C7D-9117-44A7-B8DC-9C902539F77C}" name="Column1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6"/>
  <sheetViews>
    <sheetView tabSelected="1" topLeftCell="A34" workbookViewId="0">
      <selection activeCell="C4" sqref="C4"/>
    </sheetView>
  </sheetViews>
  <sheetFormatPr defaultRowHeight="15"/>
  <cols>
    <col min="2" max="2" width="19" customWidth="1"/>
    <col min="3" max="3" width="24.85546875" customWidth="1"/>
    <col min="4" max="4" width="18.42578125" customWidth="1"/>
    <col min="5" max="5" width="19" customWidth="1"/>
    <col min="6" max="6" width="17.28515625" customWidth="1"/>
    <col min="8" max="8" width="35" customWidth="1"/>
    <col min="9" max="9" width="17.140625" customWidth="1"/>
    <col min="10" max="10" width="15.85546875" customWidth="1"/>
  </cols>
  <sheetData>
    <row r="3" spans="2:10" ht="18.75">
      <c r="B3" s="8" t="s">
        <v>0</v>
      </c>
      <c r="C3" s="9" t="s">
        <v>1</v>
      </c>
      <c r="D3" s="9" t="s">
        <v>2</v>
      </c>
      <c r="E3" s="9" t="s">
        <v>3</v>
      </c>
      <c r="F3" s="10" t="s">
        <v>4</v>
      </c>
      <c r="H3" s="11" t="s">
        <v>5</v>
      </c>
      <c r="I3" s="11" t="s">
        <v>6</v>
      </c>
      <c r="J3" s="12"/>
    </row>
    <row r="4" spans="2:10">
      <c r="B4" s="2">
        <v>101</v>
      </c>
      <c r="C4" s="1" t="s">
        <v>7</v>
      </c>
      <c r="D4" s="1">
        <v>45000</v>
      </c>
      <c r="E4" s="1">
        <v>3</v>
      </c>
      <c r="F4" s="3" t="s">
        <v>8</v>
      </c>
      <c r="H4" s="17" t="s">
        <v>9</v>
      </c>
      <c r="I4" s="18">
        <f>SUM(D4:D20)</f>
        <v>825000</v>
      </c>
      <c r="J4" s="12"/>
    </row>
    <row r="5" spans="2:10">
      <c r="B5" s="2">
        <v>102</v>
      </c>
      <c r="C5" s="1" t="s">
        <v>10</v>
      </c>
      <c r="D5" s="1">
        <v>52000</v>
      </c>
      <c r="E5" s="1">
        <v>5</v>
      </c>
      <c r="F5" s="3" t="s">
        <v>11</v>
      </c>
      <c r="H5" s="19" t="s">
        <v>12</v>
      </c>
      <c r="I5" s="20">
        <f>MIN(D4:D20)</f>
        <v>45000</v>
      </c>
      <c r="J5" s="12"/>
    </row>
    <row r="6" spans="2:10">
      <c r="B6" s="2">
        <v>103</v>
      </c>
      <c r="C6" s="1" t="s">
        <v>13</v>
      </c>
      <c r="D6" s="1">
        <v>60000</v>
      </c>
      <c r="E6" s="1">
        <v>4</v>
      </c>
      <c r="F6" s="3" t="s">
        <v>8</v>
      </c>
      <c r="H6" s="19" t="s">
        <v>14</v>
      </c>
      <c r="I6" s="20">
        <f>MAX(D4:D20)</f>
        <v>70000</v>
      </c>
      <c r="J6" s="12"/>
    </row>
    <row r="7" spans="2:10">
      <c r="B7" s="2">
        <v>104</v>
      </c>
      <c r="C7" s="1" t="s">
        <v>15</v>
      </c>
      <c r="D7" s="1">
        <v>48000</v>
      </c>
      <c r="E7" s="1">
        <v>6</v>
      </c>
      <c r="F7" s="3" t="s">
        <v>8</v>
      </c>
      <c r="H7" s="19" t="s">
        <v>16</v>
      </c>
      <c r="I7" s="20">
        <f>COUNT(D4:D20)</f>
        <v>15</v>
      </c>
      <c r="J7" s="12"/>
    </row>
    <row r="8" spans="2:10">
      <c r="B8" s="2">
        <v>105</v>
      </c>
      <c r="C8" s="1" t="s">
        <v>17</v>
      </c>
      <c r="D8" s="1">
        <v>70000</v>
      </c>
      <c r="E8" s="1">
        <v>2</v>
      </c>
      <c r="F8" s="3" t="s">
        <v>11</v>
      </c>
      <c r="H8" s="19" t="s">
        <v>18</v>
      </c>
      <c r="I8" s="19">
        <f>AVERAGE(D4:D18)</f>
        <v>55000</v>
      </c>
      <c r="J8" s="12"/>
    </row>
    <row r="9" spans="2:10">
      <c r="B9" s="2">
        <v>106</v>
      </c>
      <c r="C9" s="1" t="s">
        <v>7</v>
      </c>
      <c r="D9" s="1">
        <v>45000</v>
      </c>
      <c r="E9" s="1">
        <v>3</v>
      </c>
      <c r="F9" s="3" t="s">
        <v>8</v>
      </c>
      <c r="G9" s="7"/>
      <c r="H9" s="12"/>
      <c r="I9" s="12"/>
      <c r="J9" s="12"/>
    </row>
    <row r="10" spans="2:10">
      <c r="B10" s="2">
        <v>107</v>
      </c>
      <c r="C10" s="1" t="s">
        <v>10</v>
      </c>
      <c r="D10" s="1">
        <v>52000</v>
      </c>
      <c r="E10" s="1">
        <v>5</v>
      </c>
      <c r="F10" s="3" t="s">
        <v>11</v>
      </c>
      <c r="H10" s="12"/>
      <c r="I10" s="12"/>
      <c r="J10" s="12"/>
    </row>
    <row r="11" spans="2:10" ht="15.75">
      <c r="B11" s="2">
        <v>108</v>
      </c>
      <c r="C11" s="1" t="s">
        <v>13</v>
      </c>
      <c r="D11" s="1">
        <v>60000</v>
      </c>
      <c r="E11" s="1">
        <v>4</v>
      </c>
      <c r="F11" s="3" t="s">
        <v>8</v>
      </c>
      <c r="H11" s="13" t="s">
        <v>19</v>
      </c>
      <c r="I11" s="13"/>
      <c r="J11" s="13"/>
    </row>
    <row r="12" spans="2:10">
      <c r="B12" s="2">
        <v>109</v>
      </c>
      <c r="C12" s="1" t="s">
        <v>15</v>
      </c>
      <c r="D12" s="1">
        <v>48000</v>
      </c>
      <c r="E12" s="1">
        <v>6</v>
      </c>
      <c r="F12" s="3" t="s">
        <v>8</v>
      </c>
      <c r="H12" s="21" t="s">
        <v>20</v>
      </c>
      <c r="I12" s="21"/>
      <c r="J12" s="22" t="str">
        <f>IF(E4&gt;3,"SATISFYING","NOT SATISFYING")</f>
        <v>NOT SATISFYING</v>
      </c>
    </row>
    <row r="13" spans="2:10">
      <c r="B13" s="2">
        <v>110</v>
      </c>
      <c r="C13" s="1" t="s">
        <v>17</v>
      </c>
      <c r="D13" s="1">
        <v>70000</v>
      </c>
      <c r="E13" s="1">
        <v>2</v>
      </c>
      <c r="F13" s="3" t="s">
        <v>11</v>
      </c>
      <c r="H13" s="21" t="s">
        <v>21</v>
      </c>
      <c r="I13" s="21"/>
      <c r="J13" s="22" t="b">
        <f>AND(D4&gt;10000,C4="Sales")</f>
        <v>1</v>
      </c>
    </row>
    <row r="14" spans="2:10">
      <c r="B14" s="2">
        <v>111</v>
      </c>
      <c r="C14" s="1" t="s">
        <v>7</v>
      </c>
      <c r="D14" s="1">
        <v>45000</v>
      </c>
      <c r="E14" s="1">
        <v>3</v>
      </c>
      <c r="F14" s="3" t="s">
        <v>8</v>
      </c>
      <c r="H14" s="21" t="s">
        <v>22</v>
      </c>
      <c r="I14" s="21"/>
      <c r="J14" s="22" t="b">
        <f>OR(D4&lt;20000,C4="HR")</f>
        <v>0</v>
      </c>
    </row>
    <row r="15" spans="2:10">
      <c r="B15" s="2">
        <v>112</v>
      </c>
      <c r="C15" s="1" t="s">
        <v>10</v>
      </c>
      <c r="D15" s="1">
        <v>52000</v>
      </c>
      <c r="E15" s="1">
        <v>5</v>
      </c>
      <c r="F15" s="3" t="s">
        <v>11</v>
      </c>
      <c r="H15" s="12"/>
      <c r="I15" s="12"/>
      <c r="J15" s="12"/>
    </row>
    <row r="16" spans="2:10">
      <c r="B16" s="2">
        <v>113</v>
      </c>
      <c r="C16" s="1" t="s">
        <v>13</v>
      </c>
      <c r="D16" s="1">
        <v>60000</v>
      </c>
      <c r="E16" s="1">
        <v>4</v>
      </c>
      <c r="F16" s="3" t="s">
        <v>8</v>
      </c>
      <c r="H16" s="12"/>
      <c r="I16" s="12"/>
      <c r="J16" s="12"/>
    </row>
    <row r="17" spans="2:10" ht="15.75">
      <c r="B17" s="2">
        <v>114</v>
      </c>
      <c r="C17" s="1" t="s">
        <v>15</v>
      </c>
      <c r="D17" s="1">
        <v>48000</v>
      </c>
      <c r="E17" s="1">
        <v>6</v>
      </c>
      <c r="F17" s="3" t="s">
        <v>8</v>
      </c>
      <c r="H17" s="14" t="s">
        <v>23</v>
      </c>
      <c r="I17" s="15"/>
      <c r="J17" s="16"/>
    </row>
    <row r="18" spans="2:10">
      <c r="B18" s="4">
        <v>115</v>
      </c>
      <c r="C18" s="5" t="s">
        <v>17</v>
      </c>
      <c r="D18" s="5">
        <v>70000</v>
      </c>
      <c r="E18" s="5">
        <v>2</v>
      </c>
      <c r="F18" s="6" t="s">
        <v>11</v>
      </c>
      <c r="H18" s="21" t="s">
        <v>24</v>
      </c>
      <c r="I18" s="21"/>
      <c r="J18" s="22" t="str">
        <f>LEFT(B4,2)</f>
        <v>10</v>
      </c>
    </row>
    <row r="19" spans="2:10">
      <c r="H19" s="21" t="s">
        <v>25</v>
      </c>
      <c r="I19" s="21"/>
      <c r="J19" s="22" t="str">
        <f>RIGHT(B4,1)</f>
        <v>1</v>
      </c>
    </row>
    <row r="20" spans="2:10">
      <c r="B20" s="31" t="s">
        <v>26</v>
      </c>
      <c r="H20" s="21" t="s">
        <v>27</v>
      </c>
      <c r="I20" s="21"/>
      <c r="J20" s="22" t="str">
        <f>MID(B4,2,1)</f>
        <v>0</v>
      </c>
    </row>
    <row r="21" spans="2:10">
      <c r="H21" s="21" t="s">
        <v>28</v>
      </c>
      <c r="I21" s="21"/>
      <c r="J21" s="22" t="str">
        <f>_xlfn.CONCAT(C4," - ", D4)</f>
        <v>Sales - 45000</v>
      </c>
    </row>
    <row r="22" spans="2:10">
      <c r="B22" s="30" t="s">
        <v>1</v>
      </c>
      <c r="C22" s="30" t="s">
        <v>4</v>
      </c>
      <c r="D22" t="s">
        <v>29</v>
      </c>
      <c r="E22" t="s">
        <v>30</v>
      </c>
      <c r="F22" t="s">
        <v>31</v>
      </c>
      <c r="H22" s="23"/>
      <c r="I22" s="23"/>
      <c r="J22" s="23"/>
    </row>
    <row r="23" spans="2:10">
      <c r="B23" t="s">
        <v>13</v>
      </c>
      <c r="C23" t="s">
        <v>8</v>
      </c>
      <c r="D23" s="29">
        <v>324</v>
      </c>
      <c r="E23" s="29">
        <v>180000</v>
      </c>
      <c r="F23" s="29">
        <v>12</v>
      </c>
      <c r="H23" s="12"/>
      <c r="I23" s="12"/>
      <c r="J23" s="12"/>
    </row>
    <row r="24" spans="2:10" ht="15.75">
      <c r="B24" t="s">
        <v>32</v>
      </c>
      <c r="D24" s="29">
        <v>324</v>
      </c>
      <c r="E24" s="29">
        <v>180000</v>
      </c>
      <c r="F24" s="29">
        <v>12</v>
      </c>
      <c r="H24" s="13" t="s">
        <v>33</v>
      </c>
      <c r="I24" s="13"/>
      <c r="J24" s="13"/>
    </row>
    <row r="25" spans="2:10">
      <c r="B25" t="s">
        <v>15</v>
      </c>
      <c r="C25" t="s">
        <v>8</v>
      </c>
      <c r="D25" s="29">
        <v>327</v>
      </c>
      <c r="E25" s="29">
        <v>144000</v>
      </c>
      <c r="F25" s="29">
        <v>18</v>
      </c>
      <c r="H25" s="21" t="s">
        <v>34</v>
      </c>
      <c r="I25" s="21"/>
      <c r="J25" s="24">
        <f ca="1">TODAY()</f>
        <v>46074</v>
      </c>
    </row>
    <row r="26" spans="2:10">
      <c r="B26" t="s">
        <v>35</v>
      </c>
      <c r="D26" s="29">
        <v>327</v>
      </c>
      <c r="E26" s="29">
        <v>144000</v>
      </c>
      <c r="F26" s="29">
        <v>18</v>
      </c>
      <c r="H26" s="21" t="s">
        <v>36</v>
      </c>
      <c r="I26" s="21"/>
      <c r="J26" s="25">
        <f ca="1">NOW()</f>
        <v>46074.903732060186</v>
      </c>
    </row>
    <row r="27" spans="2:10">
      <c r="B27" t="s">
        <v>17</v>
      </c>
      <c r="C27" t="s">
        <v>11</v>
      </c>
      <c r="D27" s="29">
        <v>330</v>
      </c>
      <c r="E27" s="29">
        <v>210000</v>
      </c>
      <c r="F27" s="29">
        <v>6</v>
      </c>
      <c r="H27" s="21" t="s">
        <v>37</v>
      </c>
      <c r="I27" s="21"/>
      <c r="J27" s="22"/>
    </row>
    <row r="28" spans="2:10">
      <c r="B28" t="s">
        <v>38</v>
      </c>
      <c r="D28" s="29">
        <v>330</v>
      </c>
      <c r="E28" s="29">
        <v>210000</v>
      </c>
      <c r="F28" s="29">
        <v>6</v>
      </c>
      <c r="H28" s="12"/>
      <c r="I28" s="12"/>
      <c r="J28" s="12"/>
    </row>
    <row r="29" spans="2:10">
      <c r="B29" t="s">
        <v>10</v>
      </c>
      <c r="C29" t="s">
        <v>11</v>
      </c>
      <c r="D29" s="29">
        <v>321</v>
      </c>
      <c r="E29" s="29">
        <v>156000</v>
      </c>
      <c r="F29" s="29">
        <v>15</v>
      </c>
      <c r="H29" s="12"/>
      <c r="I29" s="12"/>
      <c r="J29" s="12"/>
    </row>
    <row r="30" spans="2:10" ht="15.75">
      <c r="B30" t="s">
        <v>39</v>
      </c>
      <c r="D30" s="29">
        <v>321</v>
      </c>
      <c r="E30" s="29">
        <v>156000</v>
      </c>
      <c r="F30" s="29">
        <v>15</v>
      </c>
      <c r="H30" s="14" t="s">
        <v>40</v>
      </c>
      <c r="I30" s="15"/>
      <c r="J30" s="16"/>
    </row>
    <row r="31" spans="2:10">
      <c r="B31" t="s">
        <v>7</v>
      </c>
      <c r="C31" t="s">
        <v>8</v>
      </c>
      <c r="D31" s="29">
        <v>318</v>
      </c>
      <c r="E31" s="29">
        <v>135000</v>
      </c>
      <c r="F31" s="29">
        <v>9</v>
      </c>
      <c r="H31" s="26" t="s">
        <v>41</v>
      </c>
      <c r="I31" s="26"/>
      <c r="J31" s="27">
        <f>PMT(5%/12, 60, I4)</f>
        <v>-15568.76775630902</v>
      </c>
    </row>
    <row r="32" spans="2:10">
      <c r="B32" t="s">
        <v>42</v>
      </c>
      <c r="D32" s="29">
        <v>318</v>
      </c>
      <c r="E32" s="29">
        <v>135000</v>
      </c>
      <c r="F32" s="29">
        <v>9</v>
      </c>
      <c r="H32" s="26" t="s">
        <v>43</v>
      </c>
      <c r="I32" s="26"/>
      <c r="J32" s="27">
        <f>NPV(5%,D4:D18)</f>
        <v>566249.97495808871</v>
      </c>
    </row>
    <row r="33" spans="2:10">
      <c r="B33" t="s">
        <v>44</v>
      </c>
      <c r="D33" s="29">
        <v>1620</v>
      </c>
      <c r="E33" s="29">
        <v>825000</v>
      </c>
      <c r="F33" s="29">
        <v>60</v>
      </c>
      <c r="H33" s="12"/>
      <c r="I33" s="12"/>
      <c r="J33" s="12"/>
    </row>
    <row r="34" spans="2:10">
      <c r="H34" s="12"/>
      <c r="I34" s="12"/>
      <c r="J34" s="12"/>
    </row>
    <row r="35" spans="2:10" ht="15.75">
      <c r="B35" s="32" t="s">
        <v>26</v>
      </c>
      <c r="H35" s="13" t="s">
        <v>45</v>
      </c>
      <c r="I35" s="13"/>
      <c r="J35" s="13"/>
    </row>
    <row r="36" spans="2:10">
      <c r="H36" s="26" t="s">
        <v>46</v>
      </c>
      <c r="I36" s="26"/>
      <c r="J36" s="28">
        <f>VLOOKUP(B4,B4:F18,3,FALSE)</f>
        <v>45000</v>
      </c>
    </row>
    <row r="37" spans="2:10">
      <c r="H37" s="26" t="s">
        <v>47</v>
      </c>
      <c r="I37" s="26"/>
      <c r="J37" s="28" t="e">
        <f>HLOOKUP(101,B1:E3,3,FALSE)</f>
        <v>#N/A</v>
      </c>
    </row>
    <row r="38" spans="2:10">
      <c r="H38" s="26" t="s">
        <v>48</v>
      </c>
      <c r="I38" s="26"/>
      <c r="J38" s="28">
        <f>+_xlfn.XLOOKUP(101,B4:B18,D4:D18)</f>
        <v>45000</v>
      </c>
    </row>
    <row r="39" spans="2:10">
      <c r="H39" s="12"/>
      <c r="I39" s="12"/>
      <c r="J39" s="12"/>
    </row>
    <row r="40" spans="2:10">
      <c r="H40" s="12"/>
      <c r="I40" s="12"/>
      <c r="J40" s="12"/>
    </row>
    <row r="41" spans="2:10" ht="15.75">
      <c r="H41" s="13" t="s">
        <v>49</v>
      </c>
      <c r="I41" s="13"/>
      <c r="J41" s="13"/>
    </row>
    <row r="42" spans="2:10">
      <c r="H42" s="26" t="s">
        <v>50</v>
      </c>
      <c r="I42" s="26"/>
      <c r="J42" s="28">
        <f>AVERAGE(D4:D18)</f>
        <v>55000</v>
      </c>
    </row>
    <row r="43" spans="2:10">
      <c r="H43" s="26" t="s">
        <v>51</v>
      </c>
      <c r="I43" s="26"/>
      <c r="J43" s="28">
        <f>MEDIAN(D4:D18)</f>
        <v>52000</v>
      </c>
    </row>
    <row r="44" spans="2:10">
      <c r="H44" s="26" t="s">
        <v>52</v>
      </c>
      <c r="I44" s="26"/>
      <c r="J44" s="28">
        <f>MODE(D4:D18)</f>
        <v>45000</v>
      </c>
    </row>
    <row r="45" spans="2:10">
      <c r="H45" s="26" t="s">
        <v>53</v>
      </c>
      <c r="I45" s="26"/>
      <c r="J45" s="28">
        <f>STDEV(D4:D18)</f>
        <v>9350.3246696877559</v>
      </c>
    </row>
    <row r="46" spans="2:10">
      <c r="H46" s="26" t="s">
        <v>54</v>
      </c>
      <c r="I46" s="26"/>
      <c r="J46" s="28">
        <f>CORREL(D4:D18,E4:E18)</f>
        <v>-0.5792574692537632</v>
      </c>
    </row>
  </sheetData>
  <mergeCells count="26">
    <mergeCell ref="H44:I44"/>
    <mergeCell ref="H45:I45"/>
    <mergeCell ref="H46:I46"/>
    <mergeCell ref="H36:I36"/>
    <mergeCell ref="H37:I37"/>
    <mergeCell ref="H38:I38"/>
    <mergeCell ref="H41:J41"/>
    <mergeCell ref="H42:I42"/>
    <mergeCell ref="H43:I43"/>
    <mergeCell ref="H26:I26"/>
    <mergeCell ref="H27:I27"/>
    <mergeCell ref="H30:J30"/>
    <mergeCell ref="H31:I31"/>
    <mergeCell ref="H32:I32"/>
    <mergeCell ref="H35:J35"/>
    <mergeCell ref="H18:I18"/>
    <mergeCell ref="H19:I19"/>
    <mergeCell ref="H20:I20"/>
    <mergeCell ref="H21:I21"/>
    <mergeCell ref="H24:J24"/>
    <mergeCell ref="H25:I25"/>
    <mergeCell ref="H11:J11"/>
    <mergeCell ref="H12:I12"/>
    <mergeCell ref="H13:I13"/>
    <mergeCell ref="H14:I14"/>
    <mergeCell ref="H17:J17"/>
  </mergeCells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2026-02-21T15:11:51Z</dcterms:created>
  <dcterms:modified xsi:type="dcterms:W3CDTF">2026-02-21T16:12:25Z</dcterms:modified>
  <cp:category/>
  <cp:contentStatus/>
</cp:coreProperties>
</file>