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/>
  <xr:revisionPtr revIDLastSave="0" documentId="8_{79107692-2CAC-4944-9339-B517964FE0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 " sheetId="1" r:id="rId1"/>
  </sheets>
  <calcPr calcId="191028"/>
  <pivotCaches>
    <pivotCache cacheId="76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5" i="1"/>
  <c r="M4" i="1"/>
  <c r="J35" i="1"/>
  <c r="J4" i="1"/>
  <c r="J34" i="1" s="1"/>
  <c r="J28" i="1"/>
  <c r="J27" i="1"/>
  <c r="J25" i="1"/>
  <c r="J22" i="1"/>
  <c r="J21" i="1"/>
  <c r="J20" i="1"/>
  <c r="J15" i="1"/>
  <c r="J14" i="1"/>
  <c r="J13" i="1"/>
  <c r="J8" i="1"/>
  <c r="J6" i="1"/>
  <c r="J5" i="1"/>
  <c r="J9" i="1"/>
  <c r="J7" i="1"/>
</calcChain>
</file>

<file path=xl/sharedStrings.xml><?xml version="1.0" encoding="utf-8"?>
<sst xmlns="http://schemas.openxmlformats.org/spreadsheetml/2006/main" count="150" uniqueCount="79">
  <si>
    <t>Date</t>
  </si>
  <si>
    <t>Product</t>
  </si>
  <si>
    <t>Region</t>
  </si>
  <si>
    <t>Sales Amount</t>
  </si>
  <si>
    <t>Profit</t>
  </si>
  <si>
    <t>Mathematical Functions</t>
  </si>
  <si>
    <t>Lookup Functions</t>
  </si>
  <si>
    <t>Laptop</t>
  </si>
  <si>
    <t xml:space="preserve">North </t>
  </si>
  <si>
    <t xml:space="preserve">Total sales amount = </t>
  </si>
  <si>
    <t>Vlookup</t>
  </si>
  <si>
    <t>Powerbank</t>
  </si>
  <si>
    <t>East</t>
  </si>
  <si>
    <t>Minimum sales  =</t>
  </si>
  <si>
    <t>Hlookup</t>
  </si>
  <si>
    <t>Mobile</t>
  </si>
  <si>
    <t>South</t>
  </si>
  <si>
    <t>Maximum sales =</t>
  </si>
  <si>
    <t>Xlookup</t>
  </si>
  <si>
    <t xml:space="preserve">Watch </t>
  </si>
  <si>
    <t>West</t>
  </si>
  <si>
    <t>Count of sales =</t>
  </si>
  <si>
    <t>Tablet</t>
  </si>
  <si>
    <t xml:space="preserve">Total profit = </t>
  </si>
  <si>
    <t>Headphones</t>
  </si>
  <si>
    <t>Average sales =</t>
  </si>
  <si>
    <t>TV</t>
  </si>
  <si>
    <t>Refrigerator</t>
  </si>
  <si>
    <t>Date Functions</t>
  </si>
  <si>
    <t>Today =</t>
  </si>
  <si>
    <t>Now =</t>
  </si>
  <si>
    <t>DateDif (of start to end sales)=</t>
  </si>
  <si>
    <t>Logical Functions</t>
  </si>
  <si>
    <t xml:space="preserve">If( max sales ) = </t>
  </si>
  <si>
    <t>And (true or false) =</t>
  </si>
  <si>
    <t>Or (true or false) =</t>
  </si>
  <si>
    <t>Sum of Sales Amount</t>
  </si>
  <si>
    <t>Sum of Profit</t>
  </si>
  <si>
    <t>Statistical Functions</t>
  </si>
  <si>
    <t>Mean sales =</t>
  </si>
  <si>
    <t>Laptop Total</t>
  </si>
  <si>
    <t>Mode( in profit ) =</t>
  </si>
  <si>
    <t>1/1/2026 Total</t>
  </si>
  <si>
    <t>Median of sales =</t>
  </si>
  <si>
    <t>Standard Deviation( sales ) =</t>
  </si>
  <si>
    <t>Powerbank Total</t>
  </si>
  <si>
    <t>Correlation between sales and profit=</t>
  </si>
  <si>
    <t>1/2/2026 Total</t>
  </si>
  <si>
    <t>Mobile Total</t>
  </si>
  <si>
    <t>1/3/2026 Total</t>
  </si>
  <si>
    <t>Financial Functions</t>
  </si>
  <si>
    <t>PMT</t>
  </si>
  <si>
    <t>Watch  Total</t>
  </si>
  <si>
    <t>NPV</t>
  </si>
  <si>
    <t>1/4/2026 Total</t>
  </si>
  <si>
    <t>Tablet Total</t>
  </si>
  <si>
    <t>Text Functions</t>
  </si>
  <si>
    <t>1/5/2026 Total</t>
  </si>
  <si>
    <t>Left(3,d8) =</t>
  </si>
  <si>
    <t>North</t>
  </si>
  <si>
    <t>Right(4,d11) =</t>
  </si>
  <si>
    <t>Headphones Total</t>
  </si>
  <si>
    <t>Mid(2,3,c9) =</t>
  </si>
  <si>
    <t>1/6/2026 Total</t>
  </si>
  <si>
    <t>Concat(c18+d18) =</t>
  </si>
  <si>
    <t>TV Total</t>
  </si>
  <si>
    <t>1/7/2026 Total</t>
  </si>
  <si>
    <t>Refrigerator Total</t>
  </si>
  <si>
    <t>1/8/2026 Total</t>
  </si>
  <si>
    <t>1/9/2026 Total</t>
  </si>
  <si>
    <t>1/10/2026 Total</t>
  </si>
  <si>
    <t>1/11/2026 Total</t>
  </si>
  <si>
    <t>1/12/2026 Total</t>
  </si>
  <si>
    <t>1/13/2026 Total</t>
  </si>
  <si>
    <t>1/14/2026 Total</t>
  </si>
  <si>
    <t>1/15/2026 Total</t>
  </si>
  <si>
    <t>1/16/2026 Total</t>
  </si>
  <si>
    <t>1/17/2026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</si>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</sst>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>
    <font>
      <sz val="11"/>
      <color theme="1"/>
      <name val="Aptos Narrow"/>
      <family val="2"/>
      <scheme val="minor"/>
    </font>
    <font>
      <b/>
      <sz val="16"/>
      <color rgb="FF000000"/>
      <name val="Aptos"/>
    </font>
    <font>
      <sz val="11"/>
      <color rgb="FF000000"/>
      <name val="Aptos"/>
    </font>
    <font>
      <b/>
      <sz val="16"/>
      <color theme="1"/>
      <name val="Agency FB"/>
      <family val="2"/>
    </font>
    <font>
      <sz val="11"/>
      <color theme="1"/>
      <name val="Aptos"/>
    </font>
    <font>
      <b/>
      <sz val="16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14" fontId="2" fillId="3" borderId="4" xfId="0" applyNumberFormat="1" applyFont="1" applyFill="1" applyBorder="1" applyAlignment="1"/>
    <xf numFmtId="0" fontId="2" fillId="3" borderId="5" xfId="0" applyFont="1" applyFill="1" applyBorder="1" applyAlignment="1"/>
    <xf numFmtId="0" fontId="2" fillId="3" borderId="6" xfId="0" applyFont="1" applyFill="1" applyBorder="1" applyAlignment="1"/>
    <xf numFmtId="0" fontId="2" fillId="3" borderId="7" xfId="0" applyFont="1" applyFill="1" applyBorder="1" applyAlignment="1"/>
    <xf numFmtId="0" fontId="2" fillId="3" borderId="8" xfId="0" applyFont="1" applyFill="1" applyBorder="1" applyAlignment="1"/>
    <xf numFmtId="14" fontId="2" fillId="3" borderId="9" xfId="0" applyNumberFormat="1" applyFont="1" applyFill="1" applyBorder="1" applyAlignment="1"/>
    <xf numFmtId="0" fontId="2" fillId="3" borderId="10" xfId="0" applyFont="1" applyFill="1" applyBorder="1" applyAlignment="1"/>
    <xf numFmtId="0" fontId="2" fillId="3" borderId="11" xfId="0" applyFont="1" applyFill="1" applyBorder="1" applyAlignment="1"/>
    <xf numFmtId="0" fontId="2" fillId="3" borderId="12" xfId="0" applyFont="1" applyFill="1" applyBorder="1" applyAlignment="1"/>
    <xf numFmtId="0" fontId="0" fillId="0" borderId="6" xfId="0" applyBorder="1"/>
    <xf numFmtId="0" fontId="0" fillId="0" borderId="8" xfId="0" applyBorder="1"/>
    <xf numFmtId="0" fontId="0" fillId="0" borderId="12" xfId="0" applyBorder="1"/>
    <xf numFmtId="0" fontId="0" fillId="3" borderId="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4" borderId="6" xfId="0" applyFont="1" applyFill="1" applyBorder="1"/>
    <xf numFmtId="0" fontId="4" fillId="3" borderId="15" xfId="0" applyFont="1" applyFill="1" applyBorder="1" applyAlignment="1">
      <alignment horizontal="left"/>
    </xf>
    <xf numFmtId="0" fontId="4" fillId="4" borderId="8" xfId="0" applyFont="1" applyFill="1" applyBorder="1"/>
    <xf numFmtId="0" fontId="4" fillId="3" borderId="16" xfId="0" applyFont="1" applyFill="1" applyBorder="1" applyAlignment="1">
      <alignment horizontal="left"/>
    </xf>
    <xf numFmtId="0" fontId="4" fillId="4" borderId="12" xfId="0" applyFont="1" applyFill="1" applyBorder="1"/>
    <xf numFmtId="14" fontId="0" fillId="0" borderId="6" xfId="0" applyNumberFormat="1" applyBorder="1"/>
    <xf numFmtId="22" fontId="0" fillId="0" borderId="8" xfId="0" applyNumberFormat="1" applyBorder="1"/>
    <xf numFmtId="0" fontId="0" fillId="3" borderId="16" xfId="0" applyFill="1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2" xfId="0" applyBorder="1" applyAlignment="1">
      <alignment horizontal="right"/>
    </xf>
    <xf numFmtId="8" fontId="0" fillId="0" borderId="6" xfId="0" applyNumberFormat="1" applyBorder="1"/>
    <xf numFmtId="8" fontId="0" fillId="0" borderId="12" xfId="0" applyNumberFormat="1" applyBorder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0" borderId="18" xfId="0" applyBorder="1"/>
    <xf numFmtId="0" fontId="0" fillId="0" borderId="12" xfId="0" applyBorder="1" applyAlignment="1">
      <alignment horizontal="left" wrapText="1"/>
    </xf>
    <xf numFmtId="0" fontId="0" fillId="3" borderId="17" xfId="0" applyFill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name val="Aptos"/>
      </font>
      <fill>
        <patternFill patternType="solid">
          <fgColor indexed="64"/>
          <bgColor theme="8" tint="0.79998168889431442"/>
        </patternFill>
      </fill>
    </dxf>
    <dxf>
      <font>
        <name val="Aptos"/>
      </font>
      <fill>
        <patternFill patternType="solid">
          <fgColor indexed="64"/>
          <bgColor theme="8" tint="0.79998168889431442"/>
        </patternFill>
      </fill>
    </dxf>
    <dxf>
      <font>
        <name val="Aptos"/>
      </font>
      <fill>
        <patternFill patternType="solid">
          <fgColor indexed="64"/>
          <bgColor theme="8" tint="0.79998168889431442"/>
        </patternFill>
      </fill>
    </dxf>
    <dxf>
      <font>
        <name val="Aptos"/>
      </font>
      <fill>
        <patternFill patternType="solid">
          <fgColor indexed="64"/>
          <bgColor theme="8" tint="0.79998168889431442"/>
        </patternFill>
      </fill>
    </dxf>
    <dxf>
      <font>
        <name val="Aptos"/>
      </font>
      <fill>
        <patternFill patternType="solid">
          <fgColor indexed="64"/>
          <bgColor theme="8" tint="0.79998168889431442"/>
        </patternFill>
      </fill>
    </dxf>
    <dxf>
      <font>
        <name val="Aptos"/>
      </font>
      <fill>
        <patternFill patternType="solid">
          <fgColor indexed="64"/>
          <bgColor theme="8" tint="0.79998168889431442"/>
        </patternFill>
      </fill>
    </dxf>
    <dxf>
      <font>
        <name val="Aptos"/>
      </font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[MAPAssignment1.xlsx]SALES 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'!$E$24</c:f>
              <c:strCache>
                <c:ptCount val="1"/>
                <c:pt idx="0">
                  <c:v>Sum of Sales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'!$B$25:$D$76</c:f>
              <c:multiLvlStrCache>
                <c:ptCount val="17"/>
                <c:lvl>
                  <c:pt idx="0">
                    <c:v>North 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North 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North 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North </c:v>
                  </c:pt>
                  <c:pt idx="13">
                    <c:v>East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North </c:v>
                  </c:pt>
                </c:lvl>
                <c:lvl>
                  <c:pt idx="0">
                    <c:v>Laptop</c:v>
                  </c:pt>
                  <c:pt idx="1">
                    <c:v>Powerbank</c:v>
                  </c:pt>
                  <c:pt idx="2">
                    <c:v>Mobile</c:v>
                  </c:pt>
                  <c:pt idx="3">
                    <c:v>Watch </c:v>
                  </c:pt>
                  <c:pt idx="4">
                    <c:v>Tablet</c:v>
                  </c:pt>
                  <c:pt idx="5">
                    <c:v>Headphones</c:v>
                  </c:pt>
                  <c:pt idx="6">
                    <c:v>TV</c:v>
                  </c:pt>
                  <c:pt idx="7">
                    <c:v>Refrigerator</c:v>
                  </c:pt>
                  <c:pt idx="8">
                    <c:v>Mobile</c:v>
                  </c:pt>
                  <c:pt idx="9">
                    <c:v>Mobile</c:v>
                  </c:pt>
                  <c:pt idx="10">
                    <c:v>Laptop</c:v>
                  </c:pt>
                  <c:pt idx="11">
                    <c:v>Powerbank</c:v>
                  </c:pt>
                  <c:pt idx="12">
                    <c:v>Tablet</c:v>
                  </c:pt>
                  <c:pt idx="13">
                    <c:v>Watch </c:v>
                  </c:pt>
                  <c:pt idx="14">
                    <c:v>Headphones</c:v>
                  </c:pt>
                  <c:pt idx="15">
                    <c:v>TV</c:v>
                  </c:pt>
                  <c:pt idx="16">
                    <c:v>Headphones</c:v>
                  </c:pt>
                </c:lvl>
                <c:lvl>
                  <c:pt idx="0">
                    <c:v>1/1/2026</c:v>
                  </c:pt>
                  <c:pt idx="1">
                    <c:v>1/2/2026</c:v>
                  </c:pt>
                  <c:pt idx="2">
                    <c:v>1/3/2026</c:v>
                  </c:pt>
                  <c:pt idx="3">
                    <c:v>1/4/2026</c:v>
                  </c:pt>
                  <c:pt idx="4">
                    <c:v>1/5/2026</c:v>
                  </c:pt>
                  <c:pt idx="5">
                    <c:v>1/6/2026</c:v>
                  </c:pt>
                  <c:pt idx="6">
                    <c:v>1/7/2026</c:v>
                  </c:pt>
                  <c:pt idx="7">
                    <c:v>1/8/2026</c:v>
                  </c:pt>
                  <c:pt idx="8">
                    <c:v>1/9/2026</c:v>
                  </c:pt>
                  <c:pt idx="9">
                    <c:v>1/10/2026</c:v>
                  </c:pt>
                  <c:pt idx="10">
                    <c:v>1/11/2026</c:v>
                  </c:pt>
                  <c:pt idx="11">
                    <c:v>1/12/2026</c:v>
                  </c:pt>
                  <c:pt idx="12">
                    <c:v>1/13/2026</c:v>
                  </c:pt>
                  <c:pt idx="13">
                    <c:v>1/14/2026</c:v>
                  </c:pt>
                  <c:pt idx="14">
                    <c:v>1/15/2026</c:v>
                  </c:pt>
                  <c:pt idx="15">
                    <c:v>1/16/2026</c:v>
                  </c:pt>
                  <c:pt idx="16">
                    <c:v>1/17/2026</c:v>
                  </c:pt>
                </c:lvl>
              </c:multiLvlStrCache>
            </c:multiLvlStrRef>
          </c:cat>
          <c:val>
            <c:numRef>
              <c:f>'SALES '!$E$25:$E$76</c:f>
              <c:numCache>
                <c:formatCode>General</c:formatCode>
                <c:ptCount val="17"/>
                <c:pt idx="0">
                  <c:v>50000</c:v>
                </c:pt>
                <c:pt idx="1">
                  <c:v>3000</c:v>
                </c:pt>
                <c:pt idx="2">
                  <c:v>25000</c:v>
                </c:pt>
                <c:pt idx="3">
                  <c:v>1570</c:v>
                </c:pt>
                <c:pt idx="4">
                  <c:v>28000</c:v>
                </c:pt>
                <c:pt idx="5">
                  <c:v>2999</c:v>
                </c:pt>
                <c:pt idx="6">
                  <c:v>25899</c:v>
                </c:pt>
                <c:pt idx="7">
                  <c:v>8550</c:v>
                </c:pt>
                <c:pt idx="8">
                  <c:v>12999</c:v>
                </c:pt>
                <c:pt idx="9">
                  <c:v>45000</c:v>
                </c:pt>
                <c:pt idx="10">
                  <c:v>89000</c:v>
                </c:pt>
                <c:pt idx="11">
                  <c:v>6699</c:v>
                </c:pt>
                <c:pt idx="12">
                  <c:v>16700</c:v>
                </c:pt>
                <c:pt idx="13">
                  <c:v>6770</c:v>
                </c:pt>
                <c:pt idx="14">
                  <c:v>8999</c:v>
                </c:pt>
                <c:pt idx="15">
                  <c:v>89000</c:v>
                </c:pt>
                <c:pt idx="16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A-4A38-AA24-A8993B9FAEA2}"/>
            </c:ext>
          </c:extLst>
        </c:ser>
        <c:ser>
          <c:idx val="1"/>
          <c:order val="1"/>
          <c:tx>
            <c:strRef>
              <c:f>'SALES '!$F$24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'SALES '!$B$25:$D$76</c:f>
              <c:multiLvlStrCache>
                <c:ptCount val="17"/>
                <c:lvl>
                  <c:pt idx="0">
                    <c:v>North 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North 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North 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North </c:v>
                  </c:pt>
                  <c:pt idx="13">
                    <c:v>East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North </c:v>
                  </c:pt>
                </c:lvl>
                <c:lvl>
                  <c:pt idx="0">
                    <c:v>Laptop</c:v>
                  </c:pt>
                  <c:pt idx="1">
                    <c:v>Powerbank</c:v>
                  </c:pt>
                  <c:pt idx="2">
                    <c:v>Mobile</c:v>
                  </c:pt>
                  <c:pt idx="3">
                    <c:v>Watch </c:v>
                  </c:pt>
                  <c:pt idx="4">
                    <c:v>Tablet</c:v>
                  </c:pt>
                  <c:pt idx="5">
                    <c:v>Headphones</c:v>
                  </c:pt>
                  <c:pt idx="6">
                    <c:v>TV</c:v>
                  </c:pt>
                  <c:pt idx="7">
                    <c:v>Refrigerator</c:v>
                  </c:pt>
                  <c:pt idx="8">
                    <c:v>Mobile</c:v>
                  </c:pt>
                  <c:pt idx="9">
                    <c:v>Mobile</c:v>
                  </c:pt>
                  <c:pt idx="10">
                    <c:v>Laptop</c:v>
                  </c:pt>
                  <c:pt idx="11">
                    <c:v>Powerbank</c:v>
                  </c:pt>
                  <c:pt idx="12">
                    <c:v>Tablet</c:v>
                  </c:pt>
                  <c:pt idx="13">
                    <c:v>Watch </c:v>
                  </c:pt>
                  <c:pt idx="14">
                    <c:v>Headphones</c:v>
                  </c:pt>
                  <c:pt idx="15">
                    <c:v>TV</c:v>
                  </c:pt>
                  <c:pt idx="16">
                    <c:v>Headphones</c:v>
                  </c:pt>
                </c:lvl>
                <c:lvl>
                  <c:pt idx="0">
                    <c:v>1/1/2026</c:v>
                  </c:pt>
                  <c:pt idx="1">
                    <c:v>1/2/2026</c:v>
                  </c:pt>
                  <c:pt idx="2">
                    <c:v>1/3/2026</c:v>
                  </c:pt>
                  <c:pt idx="3">
                    <c:v>1/4/2026</c:v>
                  </c:pt>
                  <c:pt idx="4">
                    <c:v>1/5/2026</c:v>
                  </c:pt>
                  <c:pt idx="5">
                    <c:v>1/6/2026</c:v>
                  </c:pt>
                  <c:pt idx="6">
                    <c:v>1/7/2026</c:v>
                  </c:pt>
                  <c:pt idx="7">
                    <c:v>1/8/2026</c:v>
                  </c:pt>
                  <c:pt idx="8">
                    <c:v>1/9/2026</c:v>
                  </c:pt>
                  <c:pt idx="9">
                    <c:v>1/10/2026</c:v>
                  </c:pt>
                  <c:pt idx="10">
                    <c:v>1/11/2026</c:v>
                  </c:pt>
                  <c:pt idx="11">
                    <c:v>1/12/2026</c:v>
                  </c:pt>
                  <c:pt idx="12">
                    <c:v>1/13/2026</c:v>
                  </c:pt>
                  <c:pt idx="13">
                    <c:v>1/14/2026</c:v>
                  </c:pt>
                  <c:pt idx="14">
                    <c:v>1/15/2026</c:v>
                  </c:pt>
                  <c:pt idx="15">
                    <c:v>1/16/2026</c:v>
                  </c:pt>
                  <c:pt idx="16">
                    <c:v>1/17/2026</c:v>
                  </c:pt>
                </c:lvl>
              </c:multiLvlStrCache>
            </c:multiLvlStrRef>
          </c:cat>
          <c:val>
            <c:numRef>
              <c:f>'SALES '!$F$25:$F$76</c:f>
              <c:numCache>
                <c:formatCode>General</c:formatCode>
                <c:ptCount val="17"/>
                <c:pt idx="0">
                  <c:v>3500</c:v>
                </c:pt>
                <c:pt idx="1">
                  <c:v>350</c:v>
                </c:pt>
                <c:pt idx="2">
                  <c:v>1500</c:v>
                </c:pt>
                <c:pt idx="3">
                  <c:v>420</c:v>
                </c:pt>
                <c:pt idx="4">
                  <c:v>7936</c:v>
                </c:pt>
                <c:pt idx="5">
                  <c:v>299</c:v>
                </c:pt>
                <c:pt idx="6">
                  <c:v>6100</c:v>
                </c:pt>
                <c:pt idx="7">
                  <c:v>590</c:v>
                </c:pt>
                <c:pt idx="8">
                  <c:v>1150</c:v>
                </c:pt>
                <c:pt idx="9">
                  <c:v>7520</c:v>
                </c:pt>
                <c:pt idx="10">
                  <c:v>12000</c:v>
                </c:pt>
                <c:pt idx="11">
                  <c:v>970</c:v>
                </c:pt>
                <c:pt idx="12">
                  <c:v>2200</c:v>
                </c:pt>
                <c:pt idx="13">
                  <c:v>250</c:v>
                </c:pt>
                <c:pt idx="14">
                  <c:v>700</c:v>
                </c:pt>
                <c:pt idx="15">
                  <c:v>15000</c:v>
                </c:pt>
                <c:pt idx="16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0A-4A38-AA24-A8993B9FA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478728"/>
        <c:axId val="1055962120"/>
      </c:lineChart>
      <c:catAx>
        <c:axId val="87247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62120"/>
        <c:crosses val="autoZero"/>
        <c:auto val="1"/>
        <c:lblAlgn val="ctr"/>
        <c:lblOffset val="100"/>
        <c:noMultiLvlLbl val="0"/>
      </c:catAx>
      <c:valAx>
        <c:axId val="105596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0</xdr:colOff>
      <xdr:row>1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3C899F-9C4B-4680-A975-BD9B8152028D}"/>
            </a:ext>
          </a:extLst>
        </xdr:cNvPr>
        <xdr:cNvSpPr txBox="1"/>
      </xdr:nvSpPr>
      <xdr:spPr>
        <a:xfrm>
          <a:off x="609600" y="0"/>
          <a:ext cx="5286375" cy="371475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DAILY SALES REPORT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9</xdr:col>
      <xdr:colOff>1047750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631A98-4736-5A58-7E11-35DBF8358105}"/>
            </a:ext>
            <a:ext uri="{147F2762-F138-4A5C-976F-8EAC2B608ADB}">
              <a16:predDERef xmlns:a16="http://schemas.microsoft.com/office/drawing/2014/main" pred="{883C899F-9C4B-4680-A975-BD9B8152028D}"/>
            </a:ext>
          </a:extLst>
        </xdr:cNvPr>
        <xdr:cNvSpPr txBox="1"/>
      </xdr:nvSpPr>
      <xdr:spPr>
        <a:xfrm>
          <a:off x="7115175" y="0"/>
          <a:ext cx="26193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EXCEL FUNCTIONS</a:t>
          </a:r>
        </a:p>
      </xdr:txBody>
    </xdr:sp>
    <xdr:clientData/>
  </xdr:twoCellAnchor>
  <xdr:twoCellAnchor>
    <xdr:from>
      <xdr:col>6</xdr:col>
      <xdr:colOff>676275</xdr:colOff>
      <xdr:row>44</xdr:row>
      <xdr:rowOff>171450</xdr:rowOff>
    </xdr:from>
    <xdr:to>
      <xdr:col>18</xdr:col>
      <xdr:colOff>361950</xdr:colOff>
      <xdr:row>66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572977-5E88-088A-CEBA-9292A0F69A0B}"/>
            </a:ext>
            <a:ext uri="{147F2762-F138-4A5C-976F-8EAC2B608ADB}">
              <a16:predDERef xmlns:a16="http://schemas.microsoft.com/office/drawing/2014/main" pred="{25631A98-4736-5A58-7E11-35DBF8358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21</xdr:row>
      <xdr:rowOff>19050</xdr:rowOff>
    </xdr:from>
    <xdr:to>
      <xdr:col>5</xdr:col>
      <xdr:colOff>885825</xdr:colOff>
      <xdr:row>22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26236D-A0C1-6E53-703D-F87943D81A2D}"/>
            </a:ext>
            <a:ext uri="{147F2762-F138-4A5C-976F-8EAC2B608ADB}">
              <a16:predDERef xmlns:a16="http://schemas.microsoft.com/office/drawing/2014/main" pred="{E5572977-5E88-088A-CEBA-9292A0F69A0B}"/>
            </a:ext>
          </a:extLst>
        </xdr:cNvPr>
        <xdr:cNvSpPr txBox="1"/>
      </xdr:nvSpPr>
      <xdr:spPr>
        <a:xfrm>
          <a:off x="619125" y="4229100"/>
          <a:ext cx="57721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SALES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3.861750578704" createdVersion="8" refreshedVersion="8" minRefreshableVersion="3" recordCount="17" xr:uid="{CD20003B-92C6-415B-9CD3-81C55561F0AC}">
  <cacheSource type="worksheet">
    <worksheetSource name="Table2"/>
  </cacheSource>
  <cacheFields count="5">
    <cacheField name="Date" numFmtId="14">
      <sharedItems containsSemiMixedTypes="0" containsNonDate="0" containsDate="1" containsString="0" minDate="2026-01-01T00:00:00" maxDate="2026-01-18T00:00:00" count="17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</sharedItems>
    </cacheField>
    <cacheField name="Product" numFmtId="0">
      <sharedItems count="8">
        <s v="Laptop"/>
        <s v="Powerbank"/>
        <s v="Mobile"/>
        <s v="Watch "/>
        <s v="Tablet"/>
        <s v="Headphones"/>
        <s v="TV"/>
        <s v="Refrigerator"/>
      </sharedItems>
    </cacheField>
    <cacheField name="Region" numFmtId="0">
      <sharedItems count="4">
        <s v="North "/>
        <s v="East"/>
        <s v="South"/>
        <s v="West"/>
      </sharedItems>
    </cacheField>
    <cacheField name="Sales Amount" numFmtId="0">
      <sharedItems containsSemiMixedTypes="0" containsString="0" containsNumber="1" containsInteger="1" minValue="1570" maxValue="89000"/>
    </cacheField>
    <cacheField name="Profit" numFmtId="0">
      <sharedItems containsSemiMixedTypes="0" containsString="0" containsNumber="1" containsInteger="1" minValue="25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50000"/>
    <n v="3500"/>
  </r>
  <r>
    <x v="1"/>
    <x v="1"/>
    <x v="1"/>
    <n v="3000"/>
    <n v="350"/>
  </r>
  <r>
    <x v="2"/>
    <x v="2"/>
    <x v="2"/>
    <n v="25000"/>
    <n v="1500"/>
  </r>
  <r>
    <x v="3"/>
    <x v="3"/>
    <x v="3"/>
    <n v="1570"/>
    <n v="420"/>
  </r>
  <r>
    <x v="4"/>
    <x v="4"/>
    <x v="0"/>
    <n v="28000"/>
    <n v="7936"/>
  </r>
  <r>
    <x v="5"/>
    <x v="5"/>
    <x v="1"/>
    <n v="2999"/>
    <n v="299"/>
  </r>
  <r>
    <x v="6"/>
    <x v="6"/>
    <x v="2"/>
    <n v="25899"/>
    <n v="6100"/>
  </r>
  <r>
    <x v="7"/>
    <x v="7"/>
    <x v="3"/>
    <n v="8550"/>
    <n v="590"/>
  </r>
  <r>
    <x v="8"/>
    <x v="2"/>
    <x v="0"/>
    <n v="12999"/>
    <n v="1150"/>
  </r>
  <r>
    <x v="9"/>
    <x v="2"/>
    <x v="1"/>
    <n v="45000"/>
    <n v="7520"/>
  </r>
  <r>
    <x v="10"/>
    <x v="0"/>
    <x v="2"/>
    <n v="89000"/>
    <n v="12000"/>
  </r>
  <r>
    <x v="11"/>
    <x v="1"/>
    <x v="3"/>
    <n v="6699"/>
    <n v="970"/>
  </r>
  <r>
    <x v="12"/>
    <x v="4"/>
    <x v="0"/>
    <n v="16700"/>
    <n v="2200"/>
  </r>
  <r>
    <x v="13"/>
    <x v="3"/>
    <x v="1"/>
    <n v="6770"/>
    <n v="250"/>
  </r>
  <r>
    <x v="14"/>
    <x v="5"/>
    <x v="2"/>
    <n v="8999"/>
    <n v="700"/>
  </r>
  <r>
    <x v="15"/>
    <x v="6"/>
    <x v="3"/>
    <n v="89000"/>
    <n v="15000"/>
  </r>
  <r>
    <x v="16"/>
    <x v="5"/>
    <x v="0"/>
    <n v="9000"/>
    <n v="4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E1186-336C-4110-92AE-1928799A3787}" name="PivotTable2" cacheId="76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B24:F76" firstHeaderRow="0" firstDataRow="1" firstDataCol="3"/>
  <pivotFields count="5">
    <pivotField axis="axisRow" compact="0" numFmtId="14" outline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compact="0" outline="0" showAll="0">
      <items count="9">
        <item x="5"/>
        <item x="0"/>
        <item x="2"/>
        <item x="1"/>
        <item x="7"/>
        <item x="4"/>
        <item x="6"/>
        <item x="3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</pivotFields>
  <rowFields count="3">
    <field x="0"/>
    <field x="1"/>
    <field x="2"/>
  </rowFields>
  <rowItems count="52">
    <i>
      <x/>
      <x v="1"/>
      <x v="1"/>
    </i>
    <i t="default" r="1">
      <x v="1"/>
    </i>
    <i t="default">
      <x/>
    </i>
    <i>
      <x v="1"/>
      <x v="3"/>
      <x/>
    </i>
    <i t="default" r="1">
      <x v="3"/>
    </i>
    <i t="default">
      <x v="1"/>
    </i>
    <i>
      <x v="2"/>
      <x v="2"/>
      <x v="2"/>
    </i>
    <i t="default" r="1">
      <x v="2"/>
    </i>
    <i t="default">
      <x v="2"/>
    </i>
    <i>
      <x v="3"/>
      <x v="7"/>
      <x v="3"/>
    </i>
    <i t="default" r="1">
      <x v="7"/>
    </i>
    <i t="default">
      <x v="3"/>
    </i>
    <i>
      <x v="4"/>
      <x v="5"/>
      <x v="1"/>
    </i>
    <i t="default" r="1">
      <x v="5"/>
    </i>
    <i t="default">
      <x v="4"/>
    </i>
    <i>
      <x v="5"/>
      <x/>
      <x/>
    </i>
    <i t="default" r="1">
      <x/>
    </i>
    <i t="default">
      <x v="5"/>
    </i>
    <i>
      <x v="6"/>
      <x v="6"/>
      <x v="2"/>
    </i>
    <i t="default" r="1">
      <x v="6"/>
    </i>
    <i t="default">
      <x v="6"/>
    </i>
    <i>
      <x v="7"/>
      <x v="4"/>
      <x v="3"/>
    </i>
    <i t="default" r="1">
      <x v="4"/>
    </i>
    <i t="default">
      <x v="7"/>
    </i>
    <i>
      <x v="8"/>
      <x v="2"/>
      <x v="1"/>
    </i>
    <i t="default" r="1">
      <x v="2"/>
    </i>
    <i t="default">
      <x v="8"/>
    </i>
    <i>
      <x v="9"/>
      <x v="2"/>
      <x/>
    </i>
    <i t="default" r="1">
      <x v="2"/>
    </i>
    <i t="default">
      <x v="9"/>
    </i>
    <i>
      <x v="10"/>
      <x v="1"/>
      <x v="2"/>
    </i>
    <i t="default" r="1">
      <x v="1"/>
    </i>
    <i t="default">
      <x v="10"/>
    </i>
    <i>
      <x v="11"/>
      <x v="3"/>
      <x v="3"/>
    </i>
    <i t="default" r="1">
      <x v="3"/>
    </i>
    <i t="default">
      <x v="11"/>
    </i>
    <i>
      <x v="12"/>
      <x v="5"/>
      <x v="1"/>
    </i>
    <i t="default" r="1">
      <x v="5"/>
    </i>
    <i t="default">
      <x v="12"/>
    </i>
    <i>
      <x v="13"/>
      <x v="7"/>
      <x/>
    </i>
    <i t="default" r="1">
      <x v="7"/>
    </i>
    <i t="default">
      <x v="13"/>
    </i>
    <i>
      <x v="14"/>
      <x/>
      <x v="2"/>
    </i>
    <i t="default" r="1">
      <x/>
    </i>
    <i t="default">
      <x v="14"/>
    </i>
    <i>
      <x v="15"/>
      <x v="6"/>
      <x v="3"/>
    </i>
    <i t="default" r="1">
      <x v="6"/>
    </i>
    <i t="default">
      <x v="15"/>
    </i>
    <i>
      <x v="16"/>
      <x/>
      <x v="1"/>
    </i>
    <i t="default" r="1">
      <x/>
    </i>
    <i t="default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3" baseField="0" baseItem="0"/>
    <dataField name="Sum of Profit" fld="4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655D3A-6A08-4DF7-9684-F6FD83C4B7FB}" name="Table2" displayName="Table2" ref="B3:F20" totalsRowShown="0" headerRowDxfId="6" dataDxfId="5">
  <autoFilter ref="B3:F20" xr:uid="{07655D3A-6A08-4DF7-9684-F6FD83C4B7FB}"/>
  <tableColumns count="5">
    <tableColumn id="1" xr3:uid="{DDCDB65A-74A6-40AD-A5C3-5469CF48DB72}" name="Date" dataDxfId="4"/>
    <tableColumn id="2" xr3:uid="{FE56EF6D-C612-405E-9F8B-4D1C7AA7C33D}" name="Product" dataDxfId="3"/>
    <tableColumn id="3" xr3:uid="{3EB24F08-5B35-4529-92FE-CBF5F139D0CD}" name="Region" dataDxfId="2"/>
    <tableColumn id="4" xr3:uid="{3C167C8A-6EE1-44B7-BAE3-C82A4EF47E99}" name="Sales Amount" dataDxfId="1"/>
    <tableColumn id="5" xr3:uid="{58C50B7C-8381-4D55-B77C-F1C5A2625B29}" name="Profi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76"/>
  <sheetViews>
    <sheetView tabSelected="1" workbookViewId="0">
      <selection activeCell="R11" sqref="R11"/>
    </sheetView>
  </sheetViews>
  <sheetFormatPr defaultRowHeight="15"/>
  <cols>
    <col min="2" max="2" width="17.85546875" customWidth="1"/>
    <col min="3" max="3" width="16.28515625" customWidth="1"/>
    <col min="4" max="4" width="17.140625" customWidth="1"/>
    <col min="5" max="5" width="22.140625" customWidth="1"/>
    <col min="6" max="6" width="13.5703125" customWidth="1"/>
    <col min="7" max="7" width="18" bestFit="1" customWidth="1"/>
    <col min="9" max="9" width="33.28515625" customWidth="1"/>
    <col min="10" max="10" width="15.85546875" customWidth="1"/>
    <col min="12" max="12" width="23.140625" customWidth="1"/>
    <col min="13" max="13" width="20.42578125" customWidth="1"/>
  </cols>
  <sheetData>
    <row r="3" spans="2:13" ht="21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I3" s="41" t="s">
        <v>5</v>
      </c>
      <c r="J3" s="42"/>
      <c r="L3" s="41" t="s">
        <v>6</v>
      </c>
      <c r="M3" s="42"/>
    </row>
    <row r="4" spans="2:13">
      <c r="B4" s="4">
        <v>46023</v>
      </c>
      <c r="C4" s="5" t="s">
        <v>7</v>
      </c>
      <c r="D4" s="5" t="s">
        <v>8</v>
      </c>
      <c r="E4" s="5">
        <v>50000</v>
      </c>
      <c r="F4" s="6">
        <v>3500</v>
      </c>
      <c r="I4" s="19" t="s">
        <v>9</v>
      </c>
      <c r="J4" s="20">
        <f>SUM(E4:E20)</f>
        <v>429185</v>
      </c>
      <c r="L4" s="38" t="s">
        <v>10</v>
      </c>
      <c r="M4" s="36" t="str">
        <f>VLOOKUP(B4, B3:F20,3, FALSE)</f>
        <v xml:space="preserve">North </v>
      </c>
    </row>
    <row r="5" spans="2:13">
      <c r="B5" s="4">
        <v>46024</v>
      </c>
      <c r="C5" s="7" t="s">
        <v>11</v>
      </c>
      <c r="D5" s="7" t="s">
        <v>12</v>
      </c>
      <c r="E5" s="7">
        <v>3000</v>
      </c>
      <c r="F5" s="8">
        <v>350</v>
      </c>
      <c r="I5" s="21" t="s">
        <v>13</v>
      </c>
      <c r="J5" s="22">
        <f>MIN(E4:E20)</f>
        <v>1570</v>
      </c>
      <c r="L5" s="17" t="s">
        <v>14</v>
      </c>
      <c r="M5" s="14" t="str">
        <f>HLOOKUP(C3,B3:F20,4,FALSE)</f>
        <v>Mobile</v>
      </c>
    </row>
    <row r="6" spans="2:13">
      <c r="B6" s="4">
        <v>46025</v>
      </c>
      <c r="C6" s="7" t="s">
        <v>15</v>
      </c>
      <c r="D6" s="7" t="s">
        <v>16</v>
      </c>
      <c r="E6" s="7">
        <v>25000</v>
      </c>
      <c r="F6" s="8">
        <v>1500</v>
      </c>
      <c r="I6" s="21" t="s">
        <v>17</v>
      </c>
      <c r="J6" s="22">
        <f>MAX(E4:E20)</f>
        <v>89000</v>
      </c>
      <c r="L6" s="18" t="s">
        <v>18</v>
      </c>
      <c r="M6" s="37">
        <f>_xlfn.XLOOKUP("Mobile",C4:C20,E4:E20)</f>
        <v>25000</v>
      </c>
    </row>
    <row r="7" spans="2:13">
      <c r="B7" s="4">
        <v>46026</v>
      </c>
      <c r="C7" s="7" t="s">
        <v>19</v>
      </c>
      <c r="D7" s="7" t="s">
        <v>20</v>
      </c>
      <c r="E7" s="7">
        <v>1570</v>
      </c>
      <c r="F7" s="8">
        <v>420</v>
      </c>
      <c r="I7" s="21" t="s">
        <v>21</v>
      </c>
      <c r="J7" s="22">
        <f>COUNT(E4:E20)</f>
        <v>17</v>
      </c>
    </row>
    <row r="8" spans="2:13">
      <c r="B8" s="4">
        <v>46027</v>
      </c>
      <c r="C8" s="7" t="s">
        <v>22</v>
      </c>
      <c r="D8" s="5" t="s">
        <v>8</v>
      </c>
      <c r="E8" s="7">
        <v>28000</v>
      </c>
      <c r="F8" s="8">
        <v>7936</v>
      </c>
      <c r="I8" s="21" t="s">
        <v>23</v>
      </c>
      <c r="J8" s="22">
        <f>SUM(F4:F20)</f>
        <v>60935</v>
      </c>
    </row>
    <row r="9" spans="2:13">
      <c r="B9" s="4">
        <v>46028</v>
      </c>
      <c r="C9" s="7" t="s">
        <v>24</v>
      </c>
      <c r="D9" s="7" t="s">
        <v>12</v>
      </c>
      <c r="E9" s="7">
        <v>2999</v>
      </c>
      <c r="F9" s="8">
        <v>299</v>
      </c>
      <c r="I9" s="23" t="s">
        <v>25</v>
      </c>
      <c r="J9" s="24">
        <f>AVERAGE(E4:E20)</f>
        <v>25246.176470588234</v>
      </c>
    </row>
    <row r="10" spans="2:13">
      <c r="B10" s="4">
        <v>46029</v>
      </c>
      <c r="C10" s="7" t="s">
        <v>26</v>
      </c>
      <c r="D10" s="7" t="s">
        <v>16</v>
      </c>
      <c r="E10" s="7">
        <v>25899</v>
      </c>
      <c r="F10" s="8">
        <v>6100</v>
      </c>
    </row>
    <row r="11" spans="2:13">
      <c r="B11" s="4">
        <v>46030</v>
      </c>
      <c r="C11" s="7" t="s">
        <v>27</v>
      </c>
      <c r="D11" s="7" t="s">
        <v>20</v>
      </c>
      <c r="E11" s="7">
        <v>8550</v>
      </c>
      <c r="F11" s="8">
        <v>590</v>
      </c>
    </row>
    <row r="12" spans="2:13" ht="21">
      <c r="B12" s="4">
        <v>46031</v>
      </c>
      <c r="C12" s="7" t="s">
        <v>15</v>
      </c>
      <c r="D12" s="5" t="s">
        <v>8</v>
      </c>
      <c r="E12" s="7">
        <v>12999</v>
      </c>
      <c r="F12" s="8">
        <v>1150</v>
      </c>
      <c r="I12" s="39" t="s">
        <v>28</v>
      </c>
      <c r="J12" s="40"/>
    </row>
    <row r="13" spans="2:13">
      <c r="B13" s="4">
        <v>46032</v>
      </c>
      <c r="C13" s="7" t="s">
        <v>15</v>
      </c>
      <c r="D13" s="7" t="s">
        <v>12</v>
      </c>
      <c r="E13" s="7">
        <v>45000</v>
      </c>
      <c r="F13" s="8">
        <v>7520</v>
      </c>
      <c r="I13" s="16" t="s">
        <v>29</v>
      </c>
      <c r="J13" s="25">
        <f ca="1">TODAY()</f>
        <v>46073</v>
      </c>
    </row>
    <row r="14" spans="2:13">
      <c r="B14" s="4">
        <v>46033</v>
      </c>
      <c r="C14" s="7" t="s">
        <v>7</v>
      </c>
      <c r="D14" s="7" t="s">
        <v>16</v>
      </c>
      <c r="E14" s="7">
        <v>89000</v>
      </c>
      <c r="F14" s="8">
        <v>12000</v>
      </c>
      <c r="I14" s="17" t="s">
        <v>30</v>
      </c>
      <c r="J14" s="26">
        <f ca="1">NOW()</f>
        <v>46073.893407291667</v>
      </c>
    </row>
    <row r="15" spans="2:13">
      <c r="B15" s="4">
        <v>46034</v>
      </c>
      <c r="C15" s="7" t="s">
        <v>11</v>
      </c>
      <c r="D15" s="7" t="s">
        <v>20</v>
      </c>
      <c r="E15" s="7">
        <v>6699</v>
      </c>
      <c r="F15" s="8">
        <v>970</v>
      </c>
      <c r="I15" s="17" t="s">
        <v>31</v>
      </c>
      <c r="J15" s="14">
        <f>DATEDIF(B4,B20,"D")</f>
        <v>16</v>
      </c>
    </row>
    <row r="16" spans="2:13">
      <c r="B16" s="4">
        <v>46035</v>
      </c>
      <c r="C16" s="7" t="s">
        <v>22</v>
      </c>
      <c r="D16" s="5" t="s">
        <v>8</v>
      </c>
      <c r="E16" s="7">
        <v>16700</v>
      </c>
      <c r="F16" s="8">
        <v>2200</v>
      </c>
      <c r="I16" s="27"/>
      <c r="J16" s="15"/>
    </row>
    <row r="17" spans="2:10">
      <c r="B17" s="4">
        <v>46036</v>
      </c>
      <c r="C17" s="7" t="s">
        <v>19</v>
      </c>
      <c r="D17" s="7" t="s">
        <v>12</v>
      </c>
      <c r="E17" s="7">
        <v>6770</v>
      </c>
      <c r="F17" s="8">
        <v>250</v>
      </c>
    </row>
    <row r="18" spans="2:10">
      <c r="B18" s="4">
        <v>46037</v>
      </c>
      <c r="C18" s="7" t="s">
        <v>24</v>
      </c>
      <c r="D18" s="7" t="s">
        <v>16</v>
      </c>
      <c r="E18" s="7">
        <v>8999</v>
      </c>
      <c r="F18" s="8">
        <v>700</v>
      </c>
    </row>
    <row r="19" spans="2:10" ht="19.5">
      <c r="B19" s="4">
        <v>46038</v>
      </c>
      <c r="C19" s="7" t="s">
        <v>26</v>
      </c>
      <c r="D19" s="7" t="s">
        <v>20</v>
      </c>
      <c r="E19" s="7">
        <v>89000</v>
      </c>
      <c r="F19" s="8">
        <v>15000</v>
      </c>
      <c r="I19" s="43" t="s">
        <v>32</v>
      </c>
      <c r="J19" s="42"/>
    </row>
    <row r="20" spans="2:10">
      <c r="B20" s="9">
        <v>46039</v>
      </c>
      <c r="C20" s="10" t="s">
        <v>24</v>
      </c>
      <c r="D20" s="11" t="s">
        <v>8</v>
      </c>
      <c r="E20" s="10">
        <v>9000</v>
      </c>
      <c r="F20" s="12">
        <v>450</v>
      </c>
      <c r="I20" s="16" t="s">
        <v>33</v>
      </c>
      <c r="J20" s="28" t="str">
        <f>IF(E12&gt; 25000,"Maximum","Minimum" )</f>
        <v>Minimum</v>
      </c>
    </row>
    <row r="21" spans="2:10">
      <c r="I21" s="17" t="s">
        <v>34</v>
      </c>
      <c r="J21" s="29" t="b">
        <f>AND(E12&gt;20000,E14&lt;20000)</f>
        <v>0</v>
      </c>
    </row>
    <row r="22" spans="2:10">
      <c r="I22" s="18" t="s">
        <v>35</v>
      </c>
      <c r="J22" s="30" t="b">
        <f>OR( E12&gt;20000,E14&lt;20000)</f>
        <v>0</v>
      </c>
    </row>
    <row r="24" spans="2:10" ht="21">
      <c r="B24" s="33" t="s">
        <v>0</v>
      </c>
      <c r="C24" s="33" t="s">
        <v>1</v>
      </c>
      <c r="D24" s="33" t="s">
        <v>2</v>
      </c>
      <c r="E24" t="s">
        <v>36</v>
      </c>
      <c r="F24" t="s">
        <v>37</v>
      </c>
      <c r="I24" s="39" t="s">
        <v>38</v>
      </c>
      <c r="J24" s="40"/>
    </row>
    <row r="25" spans="2:10">
      <c r="B25" s="35">
        <v>46023</v>
      </c>
      <c r="C25" t="s">
        <v>7</v>
      </c>
      <c r="D25" t="s">
        <v>8</v>
      </c>
      <c r="E25" s="34">
        <v>50000</v>
      </c>
      <c r="F25" s="34">
        <v>3500</v>
      </c>
      <c r="I25" s="16" t="s">
        <v>39</v>
      </c>
      <c r="J25" s="13">
        <f>AVERAGE(B15:B31)</f>
        <v>46032.333333333336</v>
      </c>
    </row>
    <row r="26" spans="2:10">
      <c r="C26" t="s">
        <v>40</v>
      </c>
      <c r="E26" s="34">
        <v>50000</v>
      </c>
      <c r="F26" s="34">
        <v>3500</v>
      </c>
      <c r="I26" s="17" t="s">
        <v>41</v>
      </c>
      <c r="J26" s="14"/>
    </row>
    <row r="27" spans="2:10">
      <c r="B27" s="35" t="s">
        <v>42</v>
      </c>
      <c r="E27" s="34">
        <v>50000</v>
      </c>
      <c r="F27" s="34">
        <v>3500</v>
      </c>
      <c r="I27" s="17" t="s">
        <v>43</v>
      </c>
      <c r="J27" s="14">
        <f>MEDIAN(B14:B31)</f>
        <v>46034.5</v>
      </c>
    </row>
    <row r="28" spans="2:10">
      <c r="B28" s="35">
        <v>46024</v>
      </c>
      <c r="C28" t="s">
        <v>11</v>
      </c>
      <c r="D28" t="s">
        <v>12</v>
      </c>
      <c r="E28" s="34">
        <v>3000</v>
      </c>
      <c r="F28" s="34">
        <v>350</v>
      </c>
      <c r="I28" s="17" t="s">
        <v>44</v>
      </c>
      <c r="J28" s="14">
        <f>_xlfn.STDEV.S(B15:B31)</f>
        <v>6.4420493633625631</v>
      </c>
    </row>
    <row r="29" spans="2:10">
      <c r="C29" t="s">
        <v>45</v>
      </c>
      <c r="E29" s="34">
        <v>3000</v>
      </c>
      <c r="F29" s="34">
        <v>350</v>
      </c>
      <c r="I29" s="17" t="s">
        <v>46</v>
      </c>
      <c r="J29" s="14"/>
    </row>
    <row r="30" spans="2:10">
      <c r="B30" s="35" t="s">
        <v>47</v>
      </c>
      <c r="E30" s="34">
        <v>3000</v>
      </c>
      <c r="F30" s="34">
        <v>350</v>
      </c>
      <c r="I30" s="27"/>
      <c r="J30" s="15"/>
    </row>
    <row r="31" spans="2:10">
      <c r="B31" s="35">
        <v>46025</v>
      </c>
      <c r="C31" t="s">
        <v>15</v>
      </c>
      <c r="D31" t="s">
        <v>16</v>
      </c>
      <c r="E31" s="34">
        <v>25000</v>
      </c>
      <c r="F31" s="34">
        <v>1500</v>
      </c>
    </row>
    <row r="32" spans="2:10">
      <c r="C32" t="s">
        <v>48</v>
      </c>
      <c r="E32" s="34">
        <v>25000</v>
      </c>
      <c r="F32" s="34">
        <v>1500</v>
      </c>
    </row>
    <row r="33" spans="2:10" ht="21">
      <c r="B33" s="35" t="s">
        <v>49</v>
      </c>
      <c r="E33" s="34">
        <v>25000</v>
      </c>
      <c r="F33" s="34">
        <v>1500</v>
      </c>
      <c r="I33" s="39" t="s">
        <v>50</v>
      </c>
      <c r="J33" s="40"/>
    </row>
    <row r="34" spans="2:10">
      <c r="B34" s="35">
        <v>46026</v>
      </c>
      <c r="C34" t="s">
        <v>19</v>
      </c>
      <c r="D34" t="s">
        <v>20</v>
      </c>
      <c r="E34" s="34">
        <v>1570</v>
      </c>
      <c r="F34" s="34">
        <v>420</v>
      </c>
      <c r="I34" s="16" t="s">
        <v>51</v>
      </c>
      <c r="J34" s="31">
        <f>PMT(5%/12, 60, J4)</f>
        <v>-8099.2504115048332</v>
      </c>
    </row>
    <row r="35" spans="2:10">
      <c r="C35" t="s">
        <v>52</v>
      </c>
      <c r="E35" s="34">
        <v>1570</v>
      </c>
      <c r="F35" s="34">
        <v>420</v>
      </c>
      <c r="I35" s="18" t="s">
        <v>53</v>
      </c>
      <c r="J35" s="32">
        <f>NPV(5%,E4:E20)</f>
        <v>274672.28726647008</v>
      </c>
    </row>
    <row r="36" spans="2:10">
      <c r="B36" s="35" t="s">
        <v>54</v>
      </c>
      <c r="E36" s="34">
        <v>1570</v>
      </c>
      <c r="F36" s="34">
        <v>420</v>
      </c>
    </row>
    <row r="37" spans="2:10">
      <c r="B37" s="35">
        <v>46027</v>
      </c>
      <c r="C37" t="s">
        <v>22</v>
      </c>
      <c r="D37" t="s">
        <v>8</v>
      </c>
      <c r="E37" s="34">
        <v>28000</v>
      </c>
      <c r="F37" s="34">
        <v>7936</v>
      </c>
    </row>
    <row r="38" spans="2:10" ht="21">
      <c r="C38" t="s">
        <v>55</v>
      </c>
      <c r="E38" s="34">
        <v>28000</v>
      </c>
      <c r="F38" s="34">
        <v>7936</v>
      </c>
      <c r="I38" s="39" t="s">
        <v>56</v>
      </c>
      <c r="J38" s="40"/>
    </row>
    <row r="39" spans="2:10">
      <c r="B39" s="35" t="s">
        <v>57</v>
      </c>
      <c r="E39" s="34">
        <v>28000</v>
      </c>
      <c r="F39" s="34">
        <v>7936</v>
      </c>
      <c r="I39" s="16" t="s">
        <v>58</v>
      </c>
      <c r="J39" s="28" t="s">
        <v>59</v>
      </c>
    </row>
    <row r="40" spans="2:10">
      <c r="B40" s="35">
        <v>46028</v>
      </c>
      <c r="C40" t="s">
        <v>24</v>
      </c>
      <c r="D40" t="s">
        <v>12</v>
      </c>
      <c r="E40" s="34">
        <v>2999</v>
      </c>
      <c r="F40" s="34">
        <v>299</v>
      </c>
      <c r="I40" s="17" t="s">
        <v>60</v>
      </c>
      <c r="J40" s="29" t="s">
        <v>20</v>
      </c>
    </row>
    <row r="41" spans="2:10">
      <c r="C41" t="s">
        <v>61</v>
      </c>
      <c r="E41" s="34">
        <v>2999</v>
      </c>
      <c r="F41" s="34">
        <v>299</v>
      </c>
      <c r="I41" s="17" t="s">
        <v>62</v>
      </c>
      <c r="J41" s="29" t="s">
        <v>12</v>
      </c>
    </row>
    <row r="42" spans="2:10">
      <c r="B42" s="35" t="s">
        <v>63</v>
      </c>
      <c r="E42" s="34">
        <v>2999</v>
      </c>
      <c r="F42" s="34">
        <v>299</v>
      </c>
      <c r="I42" s="18" t="s">
        <v>64</v>
      </c>
      <c r="J42" s="30" t="s">
        <v>16</v>
      </c>
    </row>
    <row r="43" spans="2:10">
      <c r="B43" s="35">
        <v>46029</v>
      </c>
      <c r="C43" t="s">
        <v>26</v>
      </c>
      <c r="D43" t="s">
        <v>16</v>
      </c>
      <c r="E43" s="34">
        <v>25899</v>
      </c>
      <c r="F43" s="34">
        <v>6100</v>
      </c>
    </row>
    <row r="44" spans="2:10">
      <c r="C44" t="s">
        <v>65</v>
      </c>
      <c r="E44" s="34">
        <v>25899</v>
      </c>
      <c r="F44" s="34">
        <v>6100</v>
      </c>
    </row>
    <row r="45" spans="2:10">
      <c r="B45" s="35" t="s">
        <v>66</v>
      </c>
      <c r="E45" s="34">
        <v>25899</v>
      </c>
      <c r="F45" s="34">
        <v>6100</v>
      </c>
    </row>
    <row r="46" spans="2:10">
      <c r="B46" s="35">
        <v>46030</v>
      </c>
      <c r="C46" t="s">
        <v>27</v>
      </c>
      <c r="D46" t="s">
        <v>20</v>
      </c>
      <c r="E46" s="34">
        <v>8550</v>
      </c>
      <c r="F46" s="34">
        <v>590</v>
      </c>
    </row>
    <row r="47" spans="2:10">
      <c r="C47" t="s">
        <v>67</v>
      </c>
      <c r="E47" s="34">
        <v>8550</v>
      </c>
      <c r="F47" s="34">
        <v>590</v>
      </c>
    </row>
    <row r="48" spans="2:10">
      <c r="B48" s="35" t="s">
        <v>68</v>
      </c>
      <c r="E48" s="34">
        <v>8550</v>
      </c>
      <c r="F48" s="34">
        <v>590</v>
      </c>
    </row>
    <row r="49" spans="2:6">
      <c r="B49" s="35">
        <v>46031</v>
      </c>
      <c r="C49" t="s">
        <v>15</v>
      </c>
      <c r="D49" t="s">
        <v>8</v>
      </c>
      <c r="E49" s="34">
        <v>12999</v>
      </c>
      <c r="F49" s="34">
        <v>1150</v>
      </c>
    </row>
    <row r="50" spans="2:6">
      <c r="C50" t="s">
        <v>48</v>
      </c>
      <c r="E50" s="34">
        <v>12999</v>
      </c>
      <c r="F50" s="34">
        <v>1150</v>
      </c>
    </row>
    <row r="51" spans="2:6">
      <c r="B51" s="35" t="s">
        <v>69</v>
      </c>
      <c r="E51" s="34">
        <v>12999</v>
      </c>
      <c r="F51" s="34">
        <v>1150</v>
      </c>
    </row>
    <row r="52" spans="2:6">
      <c r="B52" s="35">
        <v>46032</v>
      </c>
      <c r="C52" t="s">
        <v>15</v>
      </c>
      <c r="D52" t="s">
        <v>12</v>
      </c>
      <c r="E52" s="34">
        <v>45000</v>
      </c>
      <c r="F52" s="34">
        <v>7520</v>
      </c>
    </row>
    <row r="53" spans="2:6">
      <c r="C53" t="s">
        <v>48</v>
      </c>
      <c r="E53" s="34">
        <v>45000</v>
      </c>
      <c r="F53" s="34">
        <v>7520</v>
      </c>
    </row>
    <row r="54" spans="2:6">
      <c r="B54" s="35" t="s">
        <v>70</v>
      </c>
      <c r="E54" s="34">
        <v>45000</v>
      </c>
      <c r="F54" s="34">
        <v>7520</v>
      </c>
    </row>
    <row r="55" spans="2:6">
      <c r="B55" s="35">
        <v>46033</v>
      </c>
      <c r="C55" t="s">
        <v>7</v>
      </c>
      <c r="D55" t="s">
        <v>16</v>
      </c>
      <c r="E55" s="34">
        <v>89000</v>
      </c>
      <c r="F55" s="34">
        <v>12000</v>
      </c>
    </row>
    <row r="56" spans="2:6">
      <c r="C56" t="s">
        <v>40</v>
      </c>
      <c r="E56" s="34">
        <v>89000</v>
      </c>
      <c r="F56" s="34">
        <v>12000</v>
      </c>
    </row>
    <row r="57" spans="2:6">
      <c r="B57" s="35" t="s">
        <v>71</v>
      </c>
      <c r="E57" s="34">
        <v>89000</v>
      </c>
      <c r="F57" s="34">
        <v>12000</v>
      </c>
    </row>
    <row r="58" spans="2:6">
      <c r="B58" s="35">
        <v>46034</v>
      </c>
      <c r="C58" t="s">
        <v>11</v>
      </c>
      <c r="D58" t="s">
        <v>20</v>
      </c>
      <c r="E58" s="34">
        <v>6699</v>
      </c>
      <c r="F58" s="34">
        <v>970</v>
      </c>
    </row>
    <row r="59" spans="2:6">
      <c r="C59" t="s">
        <v>45</v>
      </c>
      <c r="E59" s="34">
        <v>6699</v>
      </c>
      <c r="F59" s="34">
        <v>970</v>
      </c>
    </row>
    <row r="60" spans="2:6">
      <c r="B60" s="35" t="s">
        <v>72</v>
      </c>
      <c r="E60" s="34">
        <v>6699</v>
      </c>
      <c r="F60" s="34">
        <v>970</v>
      </c>
    </row>
    <row r="61" spans="2:6">
      <c r="B61" s="35">
        <v>46035</v>
      </c>
      <c r="C61" t="s">
        <v>22</v>
      </c>
      <c r="D61" t="s">
        <v>8</v>
      </c>
      <c r="E61" s="34">
        <v>16700</v>
      </c>
      <c r="F61" s="34">
        <v>2200</v>
      </c>
    </row>
    <row r="62" spans="2:6">
      <c r="C62" t="s">
        <v>55</v>
      </c>
      <c r="E62" s="34">
        <v>16700</v>
      </c>
      <c r="F62" s="34">
        <v>2200</v>
      </c>
    </row>
    <row r="63" spans="2:6">
      <c r="B63" s="35" t="s">
        <v>73</v>
      </c>
      <c r="E63" s="34">
        <v>16700</v>
      </c>
      <c r="F63" s="34">
        <v>2200</v>
      </c>
    </row>
    <row r="64" spans="2:6">
      <c r="B64" s="35">
        <v>46036</v>
      </c>
      <c r="C64" t="s">
        <v>19</v>
      </c>
      <c r="D64" t="s">
        <v>12</v>
      </c>
      <c r="E64" s="34">
        <v>6770</v>
      </c>
      <c r="F64" s="34">
        <v>250</v>
      </c>
    </row>
    <row r="65" spans="2:6">
      <c r="C65" t="s">
        <v>52</v>
      </c>
      <c r="E65" s="34">
        <v>6770</v>
      </c>
      <c r="F65" s="34">
        <v>250</v>
      </c>
    </row>
    <row r="66" spans="2:6">
      <c r="B66" s="35" t="s">
        <v>74</v>
      </c>
      <c r="E66" s="34">
        <v>6770</v>
      </c>
      <c r="F66" s="34">
        <v>250</v>
      </c>
    </row>
    <row r="67" spans="2:6">
      <c r="B67" s="35">
        <v>46037</v>
      </c>
      <c r="C67" t="s">
        <v>24</v>
      </c>
      <c r="D67" t="s">
        <v>16</v>
      </c>
      <c r="E67" s="34">
        <v>8999</v>
      </c>
      <c r="F67" s="34">
        <v>700</v>
      </c>
    </row>
    <row r="68" spans="2:6">
      <c r="C68" t="s">
        <v>61</v>
      </c>
      <c r="E68" s="34">
        <v>8999</v>
      </c>
      <c r="F68" s="34">
        <v>700</v>
      </c>
    </row>
    <row r="69" spans="2:6">
      <c r="B69" s="35" t="s">
        <v>75</v>
      </c>
      <c r="E69" s="34">
        <v>8999</v>
      </c>
      <c r="F69" s="34">
        <v>700</v>
      </c>
    </row>
    <row r="70" spans="2:6">
      <c r="B70" s="35">
        <v>46038</v>
      </c>
      <c r="C70" t="s">
        <v>26</v>
      </c>
      <c r="D70" t="s">
        <v>20</v>
      </c>
      <c r="E70" s="34">
        <v>89000</v>
      </c>
      <c r="F70" s="34">
        <v>15000</v>
      </c>
    </row>
    <row r="71" spans="2:6">
      <c r="C71" t="s">
        <v>65</v>
      </c>
      <c r="E71" s="34">
        <v>89000</v>
      </c>
      <c r="F71" s="34">
        <v>15000</v>
      </c>
    </row>
    <row r="72" spans="2:6">
      <c r="B72" s="35" t="s">
        <v>76</v>
      </c>
      <c r="E72" s="34">
        <v>89000</v>
      </c>
      <c r="F72" s="34">
        <v>15000</v>
      </c>
    </row>
    <row r="73" spans="2:6">
      <c r="B73" s="35">
        <v>46039</v>
      </c>
      <c r="C73" t="s">
        <v>24</v>
      </c>
      <c r="D73" t="s">
        <v>8</v>
      </c>
      <c r="E73" s="34">
        <v>9000</v>
      </c>
      <c r="F73" s="34">
        <v>450</v>
      </c>
    </row>
    <row r="74" spans="2:6">
      <c r="C74" t="s">
        <v>61</v>
      </c>
      <c r="E74" s="34">
        <v>9000</v>
      </c>
      <c r="F74" s="34">
        <v>450</v>
      </c>
    </row>
    <row r="75" spans="2:6">
      <c r="B75" s="35" t="s">
        <v>77</v>
      </c>
      <c r="E75" s="34">
        <v>9000</v>
      </c>
      <c r="F75" s="34">
        <v>450</v>
      </c>
    </row>
    <row r="76" spans="2:6">
      <c r="B76" s="35" t="s">
        <v>78</v>
      </c>
      <c r="E76" s="34">
        <v>429185</v>
      </c>
      <c r="F76" s="34">
        <v>60935</v>
      </c>
    </row>
  </sheetData>
  <mergeCells count="7">
    <mergeCell ref="I33:J33"/>
    <mergeCell ref="I38:J38"/>
    <mergeCell ref="L3:M3"/>
    <mergeCell ref="I3:J3"/>
    <mergeCell ref="I12:J12"/>
    <mergeCell ref="I19:J19"/>
    <mergeCell ref="I24:J24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2026-02-20T13:02:31Z</dcterms:created>
  <dcterms:modified xsi:type="dcterms:W3CDTF">2026-02-20T15:58:30Z</dcterms:modified>
  <cp:category/>
  <cp:contentStatus/>
</cp:coreProperties>
</file>