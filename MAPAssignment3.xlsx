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216BDAEB-9C14-4F08-A389-E86B96314A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INANCE" sheetId="1" r:id="rId1"/>
  </sheets>
  <calcPr calcId="191028" calcCompleted="0"/>
  <pivotCaches>
    <pivotCache cacheId="29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27" i="1"/>
  <c r="I26" i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C9" i="1"/>
  <c r="D9" i="1" s="1"/>
  <c r="I32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l="1"/>
  <c r="D10" i="1"/>
  <c r="I46" i="1" s="1"/>
  <c r="I22" i="1"/>
  <c r="I21" i="1"/>
  <c r="I20" i="1"/>
  <c r="I19" i="1"/>
  <c r="I44" i="1" l="1"/>
  <c r="I33" i="1"/>
  <c r="I8" i="1"/>
  <c r="I7" i="1"/>
  <c r="I6" i="1"/>
  <c r="I9" i="1"/>
  <c r="I5" i="1"/>
  <c r="I43" i="1"/>
  <c r="I47" i="1"/>
  <c r="I45" i="1"/>
  <c r="I38" i="1"/>
</calcChain>
</file>

<file path=xl/sharedStrings.xml><?xml version="1.0" encoding="utf-8"?>
<sst xmlns="http://schemas.openxmlformats.org/spreadsheetml/2006/main" count="66" uniqueCount="50">
  <si>
    <t>Category</t>
  </si>
  <si>
    <t>Revenue</t>
  </si>
  <si>
    <t>Expenses</t>
  </si>
  <si>
    <t>Profit</t>
  </si>
  <si>
    <t>Budget vs Actual</t>
  </si>
  <si>
    <t>Operations</t>
  </si>
  <si>
    <t>Utilities</t>
  </si>
  <si>
    <t>Mathematical Functions</t>
  </si>
  <si>
    <t>Rent</t>
  </si>
  <si>
    <t>SUM</t>
  </si>
  <si>
    <t>AVERAGE</t>
  </si>
  <si>
    <t>MIN</t>
  </si>
  <si>
    <t>Marketng</t>
  </si>
  <si>
    <t>MAX</t>
  </si>
  <si>
    <t>Salaries</t>
  </si>
  <si>
    <t>COUNT</t>
  </si>
  <si>
    <t>Logical functions</t>
  </si>
  <si>
    <t>IF</t>
  </si>
  <si>
    <t>SATISFYING</t>
  </si>
  <si>
    <t>AND</t>
  </si>
  <si>
    <t>OR</t>
  </si>
  <si>
    <t>Text functions</t>
  </si>
  <si>
    <t>LEFT</t>
  </si>
  <si>
    <t>PIVOT TABLE</t>
  </si>
  <si>
    <t>RIGHT</t>
  </si>
  <si>
    <t>MID</t>
  </si>
  <si>
    <t>Sum of Revenue</t>
  </si>
  <si>
    <t>Sum of Expenses</t>
  </si>
  <si>
    <t>Sum of Profit</t>
  </si>
  <si>
    <t>Sum of Budget vs Actual</t>
  </si>
  <si>
    <t>CONCAT</t>
  </si>
  <si>
    <t>Data functions</t>
  </si>
  <si>
    <t>TODAY</t>
  </si>
  <si>
    <t>NOW</t>
  </si>
  <si>
    <t>Grand Total</t>
  </si>
  <si>
    <t>DATEDIF</t>
  </si>
  <si>
    <t>PIVOT CHART</t>
  </si>
  <si>
    <t>Financial functions</t>
  </si>
  <si>
    <t>PMT</t>
  </si>
  <si>
    <t>NPV</t>
  </si>
  <si>
    <t>Lookup functions</t>
  </si>
  <si>
    <t>VLOOUP</t>
  </si>
  <si>
    <t>HLOOKUP</t>
  </si>
  <si>
    <t>XLOOKUP</t>
  </si>
  <si>
    <t>Statistical Function</t>
  </si>
  <si>
    <t>MEAN</t>
  </si>
  <si>
    <t>MEDIAN</t>
  </si>
  <si>
    <t>MODE</t>
  </si>
  <si>
    <t>STANDARD DEVIATION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</si>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</sst>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7">
    <font>
      <sz val="11"/>
      <color theme="1"/>
      <name val="Aptos Narrow"/>
      <family val="2"/>
      <scheme val="minor"/>
    </font>
    <font>
      <i/>
      <sz val="11"/>
      <color rgb="FF7F7F7F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2"/>
      <name val="Aptos"/>
    </font>
    <font>
      <b/>
      <u/>
      <sz val="12"/>
      <color theme="2"/>
      <name val="Calibri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9"/>
      </right>
      <top style="thin">
        <color theme="9" tint="0.39997558519241921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2" xfId="1" applyFont="1" applyFill="1" applyBorder="1"/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22" fontId="0" fillId="4" borderId="1" xfId="0" applyNumberForma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5" fillId="0" borderId="0" xfId="0" applyFont="1"/>
    <xf numFmtId="0" fontId="6" fillId="0" borderId="0" xfId="0" applyFont="1" applyAlignment="1">
      <alignment wrapText="1"/>
    </xf>
  </cellXfs>
  <cellStyles count="2">
    <cellStyle name="Explanatory Text" xfId="1" builtinId="53"/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"/>
        <scheme val="minor"/>
      </font>
      <fill>
        <patternFill patternType="solid">
          <fgColor indexed="64"/>
          <bgColor theme="9" tint="-0.499984740745262"/>
        </patternFill>
      </fill>
      <border diagonalUp="0" diagonalDown="0">
        <left style="medium">
          <color theme="1"/>
        </left>
        <right style="thin">
          <color theme="9"/>
        </right>
        <top style="thin">
          <color theme="9" tint="0.39997558519241921"/>
        </top>
        <bottom style="thin">
          <color theme="9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[MAPAssignment3.xlsx]FINANCE!PivotTable1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FINANCE!$B$22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FINANCE!$A$23:$A$28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FINANCE!$B$23:$B$28</c:f>
              <c:numCache>
                <c:formatCode>General</c:formatCode>
                <c:ptCount val="5"/>
                <c:pt idx="0">
                  <c:v>9700000</c:v>
                </c:pt>
                <c:pt idx="1">
                  <c:v>10000000</c:v>
                </c:pt>
                <c:pt idx="2">
                  <c:v>19400000</c:v>
                </c:pt>
                <c:pt idx="3">
                  <c:v>24300000</c:v>
                </c:pt>
                <c:pt idx="4">
                  <c:v>8100000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8-4C4F-B9B3-D3AA248D4587}"/>
            </c:ext>
          </c:extLst>
        </c:ser>
        <c:ser>
          <c:idx val="1"/>
          <c:order val="1"/>
          <c:tx>
            <c:strRef>
              <c:f>FINANCE!$C$22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FINANCE!$A$23:$A$28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FINANCE!$C$23:$C$28</c:f>
              <c:numCache>
                <c:formatCode>General</c:formatCode>
                <c:ptCount val="5"/>
                <c:pt idx="0">
                  <c:v>7760000</c:v>
                </c:pt>
                <c:pt idx="1">
                  <c:v>8000000</c:v>
                </c:pt>
                <c:pt idx="2">
                  <c:v>15520000</c:v>
                </c:pt>
                <c:pt idx="3">
                  <c:v>19440000</c:v>
                </c:pt>
                <c:pt idx="4">
                  <c:v>6480000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A8-4C4F-B9B3-D3AA248D4587}"/>
            </c:ext>
          </c:extLst>
        </c:ser>
        <c:ser>
          <c:idx val="2"/>
          <c:order val="2"/>
          <c:tx>
            <c:strRef>
              <c:f>FINANCE!$D$22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FINANCE!$A$23:$A$28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FINANCE!$D$23:$D$28</c:f>
              <c:numCache>
                <c:formatCode>General</c:formatCode>
                <c:ptCount val="5"/>
                <c:pt idx="0">
                  <c:v>1940000</c:v>
                </c:pt>
                <c:pt idx="1">
                  <c:v>2000000</c:v>
                </c:pt>
                <c:pt idx="2">
                  <c:v>3880000</c:v>
                </c:pt>
                <c:pt idx="3">
                  <c:v>4860000</c:v>
                </c:pt>
                <c:pt idx="4">
                  <c:v>1620000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A8-4C4F-B9B3-D3AA248D4587}"/>
            </c:ext>
          </c:extLst>
        </c:ser>
        <c:ser>
          <c:idx val="3"/>
          <c:order val="3"/>
          <c:tx>
            <c:strRef>
              <c:f>FINANCE!$E$22</c:f>
              <c:strCache>
                <c:ptCount val="1"/>
                <c:pt idx="0">
                  <c:v>Sum of Budget vs Actual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FINANCE!$A$23:$A$28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FINANCE!$E$23:$E$28</c:f>
              <c:numCache>
                <c:formatCode>General</c:formatCode>
                <c:ptCount val="5"/>
                <c:pt idx="0">
                  <c:v>2.98</c:v>
                </c:pt>
                <c:pt idx="1">
                  <c:v>2.9699999999999998</c:v>
                </c:pt>
                <c:pt idx="2">
                  <c:v>3.59</c:v>
                </c:pt>
                <c:pt idx="3">
                  <c:v>3.5900000000000003</c:v>
                </c:pt>
                <c:pt idx="4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A8-4C4F-B9B3-D3AA248D4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987592"/>
        <c:axId val="1930002440"/>
      </c:lineChart>
      <c:catAx>
        <c:axId val="192998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02440"/>
        <c:crosses val="autoZero"/>
        <c:auto val="1"/>
        <c:lblAlgn val="ctr"/>
        <c:lblOffset val="100"/>
        <c:noMultiLvlLbl val="0"/>
      </c:catAx>
      <c:valAx>
        <c:axId val="193000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8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4</xdr:col>
      <xdr:colOff>895350</xdr:colOff>
      <xdr:row>44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1D28C-E4E4-4F7D-686B-617E247B4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180975</xdr:rowOff>
    </xdr:from>
    <xdr:to>
      <xdr:col>8</xdr:col>
      <xdr:colOff>1104900</xdr:colOff>
      <xdr:row>2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C04DD2-B47B-60BD-811A-2F1D8264BA08}"/>
            </a:ext>
            <a:ext uri="{147F2762-F138-4A5C-976F-8EAC2B608ADB}">
              <a16:predDERef xmlns:a16="http://schemas.microsoft.com/office/drawing/2014/main" pred="{B571D28C-E4E4-4F7D-686B-617E247B41FF}"/>
            </a:ext>
          </a:extLst>
        </xdr:cNvPr>
        <xdr:cNvSpPr txBox="1"/>
      </xdr:nvSpPr>
      <xdr:spPr>
        <a:xfrm>
          <a:off x="6362700" y="180975"/>
          <a:ext cx="22764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EXCEL FUNCTIONS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830408564812" createdVersion="8" refreshedVersion="8" minRefreshableVersion="3" recordCount="15" xr:uid="{ACC319FB-3279-45B7-AA32-29510BC4BE86}">
  <cacheSource type="worksheet">
    <worksheetSource name="Table1"/>
  </cacheSource>
  <cacheFields count="5">
    <cacheField name="Category" numFmtId="0">
      <sharedItems count="5">
        <s v="Operations"/>
        <s v="Utilities"/>
        <s v="Rent"/>
        <s v="Marketng"/>
        <s v="Salaries"/>
      </sharedItems>
    </cacheField>
    <cacheField name="Revenue" numFmtId="0">
      <sharedItems containsSemiMixedTypes="0" containsString="0" containsNumber="1" containsInteger="1" minValue="1000000" maxValue="9000000"/>
    </cacheField>
    <cacheField name="Expenses" numFmtId="0">
      <sharedItems containsSemiMixedTypes="0" containsString="0" containsNumber="1" containsInteger="1" minValue="800000" maxValue="7200000"/>
    </cacheField>
    <cacheField name="Profit" numFmtId="0">
      <sharedItems containsSemiMixedTypes="0" containsString="0" containsNumber="1" containsInteger="1" minValue="200000" maxValue="1800000"/>
    </cacheField>
    <cacheField name="Budget vs Actual" numFmtId="0">
      <sharedItems containsSemiMixedTypes="0" containsString="0" containsNumber="1" minValue="0.72" maxValue="2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5000000"/>
    <n v="4000000"/>
    <n v="1000000"/>
    <n v="0.95"/>
  </r>
  <r>
    <x v="1"/>
    <n v="6000000"/>
    <n v="4800000"/>
    <n v="1200000"/>
    <n v="0.75"/>
  </r>
  <r>
    <x v="2"/>
    <n v="7000000"/>
    <n v="5600000"/>
    <n v="1400000"/>
    <n v="1.18"/>
  </r>
  <r>
    <x v="0"/>
    <n v="3000000"/>
    <n v="2400000"/>
    <n v="600000"/>
    <n v="0.8"/>
  </r>
  <r>
    <x v="1"/>
    <n v="1000000"/>
    <n v="800000"/>
    <n v="200000"/>
    <n v="0.9"/>
  </r>
  <r>
    <x v="3"/>
    <n v="4000000"/>
    <n v="3200000"/>
    <n v="800000"/>
    <n v="1.1000000000000001"/>
  </r>
  <r>
    <x v="4"/>
    <n v="8000000"/>
    <n v="6400000"/>
    <n v="1600000"/>
    <n v="0.72"/>
  </r>
  <r>
    <x v="2"/>
    <n v="9000000"/>
    <n v="7200000"/>
    <n v="1800000"/>
    <n v="1.2"/>
  </r>
  <r>
    <x v="0"/>
    <n v="2000000"/>
    <n v="1600000"/>
    <n v="400000"/>
    <n v="1.22"/>
  </r>
  <r>
    <x v="1"/>
    <n v="1100000"/>
    <n v="880000"/>
    <n v="220000"/>
    <n v="0.79"/>
  </r>
  <r>
    <x v="3"/>
    <n v="4500000"/>
    <n v="3600000"/>
    <n v="900000"/>
    <n v="0.99"/>
  </r>
  <r>
    <x v="4"/>
    <n v="7600000"/>
    <n v="6080000"/>
    <n v="1520000"/>
    <n v="2.1"/>
  </r>
  <r>
    <x v="2"/>
    <n v="3400000"/>
    <n v="2720000"/>
    <n v="680000"/>
    <n v="1.21"/>
  </r>
  <r>
    <x v="3"/>
    <n v="1200000"/>
    <n v="960000"/>
    <n v="240000"/>
    <n v="0.89"/>
  </r>
  <r>
    <x v="4"/>
    <n v="8700000"/>
    <n v="6960000"/>
    <n v="1740000"/>
    <n v="0.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ADB10-ED01-44B6-9CE6-5A3901B7BC74}" name="PivotTable1" cacheId="29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2:E28" firstHeaderRow="0" firstDataRow="1" firstDataCol="1"/>
  <pivotFields count="5">
    <pivotField axis="axisRow" compact="0" outline="0" showAll="0">
      <items count="6">
        <item x="3"/>
        <item x="0"/>
        <item x="2"/>
        <item x="4"/>
        <item x="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1" baseField="0" baseItem="0"/>
    <dataField name="Sum of Expenses" fld="2" baseField="0" baseItem="0"/>
    <dataField name="Sum of Profit" fld="3" baseField="0" baseItem="0"/>
    <dataField name="Sum of Budget vs Actual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Dark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C7D3A-C423-4819-A07F-DBA7AEDCD26E}" name="Table1" displayName="Table1" ref="A2:E17" totalsRowShown="0" headerRowDxfId="7" headerRowBorderDxfId="5" tableBorderDxfId="6">
  <autoFilter ref="A2:E17" xr:uid="{DA1C7D3A-C423-4819-A07F-DBA7AEDCD26E}"/>
  <tableColumns count="5">
    <tableColumn id="1" xr3:uid="{A91AA522-1805-4EA0-BD51-DE44E402CE14}" name="Category" dataDxfId="4" dataCellStyle="Explanatory Text"/>
    <tableColumn id="2" xr3:uid="{D238A08F-A194-427D-9B0E-B1A9CF17A4EA}" name="Revenue" dataDxfId="3"/>
    <tableColumn id="3" xr3:uid="{3B7F7F04-B33C-4C87-8C9D-DD8A399BF36C}" name="Expenses" dataDxfId="2">
      <calculatedColumnFormula>(B3*80%)</calculatedColumnFormula>
    </tableColumn>
    <tableColumn id="4" xr3:uid="{BB49885D-E5A6-4F13-AC08-65914A765CBC}" name="Profit" dataDxfId="1">
      <calculatedColumnFormula>(B3-C3)</calculatedColumnFormula>
    </tableColumn>
    <tableColumn id="5" xr3:uid="{7E2914F2-45C5-446F-82C8-53F55B1E5092}" name="Budget vs Actual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7"/>
  <sheetViews>
    <sheetView tabSelected="1" workbookViewId="0">
      <selection activeCell="P2" sqref="P2"/>
    </sheetView>
  </sheetViews>
  <sheetFormatPr defaultRowHeight="15"/>
  <cols>
    <col min="1" max="1" width="12" customWidth="1"/>
    <col min="2" max="2" width="15" customWidth="1"/>
    <col min="3" max="3" width="15.85546875" customWidth="1"/>
    <col min="4" max="4" width="12.28515625" customWidth="1"/>
    <col min="5" max="5" width="22" customWidth="1"/>
    <col min="8" max="8" width="17.5703125" bestFit="1" customWidth="1"/>
    <col min="9" max="9" width="17.140625" customWidth="1"/>
  </cols>
  <sheetData>
    <row r="2" spans="1:9" ht="18.75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9">
      <c r="A3" s="5" t="s">
        <v>5</v>
      </c>
      <c r="B3" s="1">
        <v>5000000</v>
      </c>
      <c r="C3" s="1">
        <f>(B3*80%)</f>
        <v>4000000</v>
      </c>
      <c r="D3" s="1">
        <f>(B3-C3)</f>
        <v>1000000</v>
      </c>
      <c r="E3" s="2">
        <v>0.95</v>
      </c>
    </row>
    <row r="4" spans="1:9" ht="15.75">
      <c r="A4" s="5" t="s">
        <v>6</v>
      </c>
      <c r="B4" s="1">
        <v>6000000</v>
      </c>
      <c r="C4" s="1">
        <f t="shared" ref="C4:C17" si="0">(B4*80%)</f>
        <v>4800000</v>
      </c>
      <c r="D4" s="1">
        <f t="shared" ref="D4:D17" si="1">(B4-C4)</f>
        <v>1200000</v>
      </c>
      <c r="E4" s="2">
        <v>0.75</v>
      </c>
      <c r="H4" s="6" t="s">
        <v>7</v>
      </c>
      <c r="I4" s="7"/>
    </row>
    <row r="5" spans="1:9">
      <c r="A5" s="5" t="s">
        <v>8</v>
      </c>
      <c r="B5" s="1">
        <v>7000000</v>
      </c>
      <c r="C5" s="1">
        <f t="shared" si="0"/>
        <v>5600000</v>
      </c>
      <c r="D5" s="1">
        <f t="shared" si="1"/>
        <v>1400000</v>
      </c>
      <c r="E5" s="2">
        <v>1.18</v>
      </c>
      <c r="H5" s="8" t="s">
        <v>9</v>
      </c>
      <c r="I5" s="9">
        <f>SUM(D3:D17)</f>
        <v>14300000</v>
      </c>
    </row>
    <row r="6" spans="1:9">
      <c r="A6" s="5" t="s">
        <v>5</v>
      </c>
      <c r="B6" s="1">
        <v>3000000</v>
      </c>
      <c r="C6" s="1">
        <f t="shared" si="0"/>
        <v>2400000</v>
      </c>
      <c r="D6" s="1">
        <f t="shared" si="1"/>
        <v>600000</v>
      </c>
      <c r="E6" s="2">
        <v>0.8</v>
      </c>
      <c r="H6" s="8" t="s">
        <v>10</v>
      </c>
      <c r="I6" s="9">
        <f>AVERAGE(D3:D17)</f>
        <v>953333.33333333337</v>
      </c>
    </row>
    <row r="7" spans="1:9">
      <c r="A7" s="5" t="s">
        <v>6</v>
      </c>
      <c r="B7" s="1">
        <v>1000000</v>
      </c>
      <c r="C7" s="1">
        <f t="shared" si="0"/>
        <v>800000</v>
      </c>
      <c r="D7" s="1">
        <f t="shared" si="1"/>
        <v>200000</v>
      </c>
      <c r="E7" s="2">
        <v>0.9</v>
      </c>
      <c r="H7" s="8" t="s">
        <v>11</v>
      </c>
      <c r="I7" s="9">
        <f>MIN(D3:D17)</f>
        <v>200000</v>
      </c>
    </row>
    <row r="8" spans="1:9">
      <c r="A8" s="5" t="s">
        <v>12</v>
      </c>
      <c r="B8" s="1">
        <v>4000000</v>
      </c>
      <c r="C8" s="1">
        <f t="shared" si="0"/>
        <v>3200000</v>
      </c>
      <c r="D8" s="1">
        <f t="shared" si="1"/>
        <v>800000</v>
      </c>
      <c r="E8" s="2">
        <v>1.1000000000000001</v>
      </c>
      <c r="H8" s="8" t="s">
        <v>13</v>
      </c>
      <c r="I8" s="9">
        <f>MAX(D3:D17)</f>
        <v>1800000</v>
      </c>
    </row>
    <row r="9" spans="1:9">
      <c r="A9" s="5" t="s">
        <v>14</v>
      </c>
      <c r="B9" s="1">
        <v>8000000</v>
      </c>
      <c r="C9" s="1">
        <f t="shared" si="0"/>
        <v>6400000</v>
      </c>
      <c r="D9" s="1">
        <f t="shared" si="1"/>
        <v>1600000</v>
      </c>
      <c r="E9" s="2">
        <v>0.72</v>
      </c>
      <c r="H9" s="8" t="s">
        <v>15</v>
      </c>
      <c r="I9" s="9">
        <f>COUNT(D3:D17)</f>
        <v>15</v>
      </c>
    </row>
    <row r="10" spans="1:9">
      <c r="A10" s="5" t="s">
        <v>8</v>
      </c>
      <c r="B10" s="1">
        <v>9000000</v>
      </c>
      <c r="C10" s="1">
        <f t="shared" si="0"/>
        <v>7200000</v>
      </c>
      <c r="D10" s="1">
        <f t="shared" si="1"/>
        <v>1800000</v>
      </c>
      <c r="E10" s="2">
        <v>1.2</v>
      </c>
    </row>
    <row r="11" spans="1:9">
      <c r="A11" s="5" t="s">
        <v>5</v>
      </c>
      <c r="B11" s="1">
        <v>2000000</v>
      </c>
      <c r="C11" s="1">
        <f t="shared" si="0"/>
        <v>1600000</v>
      </c>
      <c r="D11" s="1">
        <f t="shared" si="1"/>
        <v>400000</v>
      </c>
      <c r="E11" s="2">
        <v>1.22</v>
      </c>
    </row>
    <row r="12" spans="1:9" ht="15.75">
      <c r="A12" s="5" t="s">
        <v>6</v>
      </c>
      <c r="B12" s="1">
        <v>1100000</v>
      </c>
      <c r="C12" s="1">
        <f t="shared" si="0"/>
        <v>880000</v>
      </c>
      <c r="D12" s="1">
        <f t="shared" si="1"/>
        <v>220000</v>
      </c>
      <c r="E12" s="2">
        <v>0.79</v>
      </c>
      <c r="H12" s="6" t="s">
        <v>16</v>
      </c>
      <c r="I12" s="7"/>
    </row>
    <row r="13" spans="1:9">
      <c r="A13" s="5" t="s">
        <v>12</v>
      </c>
      <c r="B13" s="1">
        <v>4500000</v>
      </c>
      <c r="C13" s="1">
        <f t="shared" si="0"/>
        <v>3600000</v>
      </c>
      <c r="D13" s="1">
        <f t="shared" si="1"/>
        <v>900000</v>
      </c>
      <c r="E13" s="2">
        <v>0.99</v>
      </c>
      <c r="H13" s="8" t="s">
        <v>17</v>
      </c>
      <c r="I13" s="9" t="s">
        <v>18</v>
      </c>
    </row>
    <row r="14" spans="1:9">
      <c r="A14" s="5" t="s">
        <v>14</v>
      </c>
      <c r="B14" s="1">
        <v>7600000</v>
      </c>
      <c r="C14" s="1">
        <f t="shared" si="0"/>
        <v>6080000</v>
      </c>
      <c r="D14" s="1">
        <f t="shared" si="1"/>
        <v>1520000</v>
      </c>
      <c r="E14" s="2">
        <v>2.1</v>
      </c>
      <c r="H14" s="8" t="s">
        <v>19</v>
      </c>
      <c r="I14" s="9" t="b">
        <v>0</v>
      </c>
    </row>
    <row r="15" spans="1:9">
      <c r="A15" s="5" t="s">
        <v>8</v>
      </c>
      <c r="B15" s="1">
        <v>3400000</v>
      </c>
      <c r="C15" s="1">
        <f>(B15*80%)</f>
        <v>2720000</v>
      </c>
      <c r="D15" s="1">
        <f t="shared" si="1"/>
        <v>680000</v>
      </c>
      <c r="E15" s="2">
        <v>1.21</v>
      </c>
      <c r="H15" s="8" t="s">
        <v>20</v>
      </c>
      <c r="I15" s="9" t="b">
        <v>0</v>
      </c>
    </row>
    <row r="16" spans="1:9">
      <c r="A16" s="5" t="s">
        <v>12</v>
      </c>
      <c r="B16" s="1">
        <v>1200000</v>
      </c>
      <c r="C16" s="1">
        <f t="shared" si="0"/>
        <v>960000</v>
      </c>
      <c r="D16" s="1">
        <f t="shared" si="1"/>
        <v>240000</v>
      </c>
      <c r="E16" s="2">
        <v>0.89</v>
      </c>
    </row>
    <row r="17" spans="1:9">
      <c r="A17" s="5" t="s">
        <v>14</v>
      </c>
      <c r="B17" s="1">
        <v>8700000</v>
      </c>
      <c r="C17" s="1">
        <f t="shared" si="0"/>
        <v>6960000</v>
      </c>
      <c r="D17" s="1">
        <f t="shared" si="1"/>
        <v>1740000</v>
      </c>
      <c r="E17" s="2">
        <v>0.77</v>
      </c>
    </row>
    <row r="18" spans="1:9" ht="15.75">
      <c r="H18" s="6" t="s">
        <v>21</v>
      </c>
      <c r="I18" s="7"/>
    </row>
    <row r="19" spans="1:9">
      <c r="H19" s="8" t="s">
        <v>22</v>
      </c>
      <c r="I19" s="9" t="str">
        <f>LEFT(C10,3)</f>
        <v>720</v>
      </c>
    </row>
    <row r="20" spans="1:9">
      <c r="A20" s="18" t="s">
        <v>23</v>
      </c>
      <c r="H20" s="8" t="s">
        <v>24</v>
      </c>
      <c r="I20" s="9" t="str">
        <f>RIGHT(C10,3)</f>
        <v>000</v>
      </c>
    </row>
    <row r="21" spans="1:9">
      <c r="H21" s="8" t="s">
        <v>25</v>
      </c>
      <c r="I21" s="9" t="str">
        <f>MID(C10,3,3)</f>
        <v>000</v>
      </c>
    </row>
    <row r="22" spans="1:9">
      <c r="A22" s="16" t="s">
        <v>0</v>
      </c>
      <c r="B22" t="s">
        <v>26</v>
      </c>
      <c r="C22" t="s">
        <v>27</v>
      </c>
      <c r="D22" t="s">
        <v>28</v>
      </c>
      <c r="E22" t="s">
        <v>29</v>
      </c>
      <c r="H22" s="8" t="s">
        <v>30</v>
      </c>
      <c r="I22" s="9" t="str">
        <f>CONCATENATE(C10," ",C17)</f>
        <v>7200000 6960000</v>
      </c>
    </row>
    <row r="23" spans="1:9">
      <c r="A23" t="s">
        <v>12</v>
      </c>
      <c r="B23" s="17">
        <v>9700000</v>
      </c>
      <c r="C23" s="17">
        <v>7760000</v>
      </c>
      <c r="D23" s="17">
        <v>1940000</v>
      </c>
      <c r="E23" s="17">
        <v>2.98</v>
      </c>
    </row>
    <row r="24" spans="1:9">
      <c r="A24" t="s">
        <v>5</v>
      </c>
      <c r="B24" s="17">
        <v>10000000</v>
      </c>
      <c r="C24" s="17">
        <v>8000000</v>
      </c>
      <c r="D24" s="17">
        <v>2000000</v>
      </c>
      <c r="E24" s="17">
        <v>2.9699999999999998</v>
      </c>
    </row>
    <row r="25" spans="1:9" ht="15.75">
      <c r="A25" t="s">
        <v>8</v>
      </c>
      <c r="B25" s="17">
        <v>19400000</v>
      </c>
      <c r="C25" s="17">
        <v>15520000</v>
      </c>
      <c r="D25" s="17">
        <v>3880000</v>
      </c>
      <c r="E25" s="17">
        <v>3.59</v>
      </c>
      <c r="H25" s="12" t="s">
        <v>31</v>
      </c>
      <c r="I25" s="12"/>
    </row>
    <row r="26" spans="1:9">
      <c r="A26" t="s">
        <v>14</v>
      </c>
      <c r="B26" s="17">
        <v>24300000</v>
      </c>
      <c r="C26" s="17">
        <v>19440000</v>
      </c>
      <c r="D26" s="17">
        <v>4860000</v>
      </c>
      <c r="E26" s="17">
        <v>3.5900000000000003</v>
      </c>
      <c r="H26" s="8" t="s">
        <v>32</v>
      </c>
      <c r="I26" s="10">
        <f ca="1">TODAY()</f>
        <v>46074</v>
      </c>
    </row>
    <row r="27" spans="1:9">
      <c r="A27" t="s">
        <v>6</v>
      </c>
      <c r="B27" s="17">
        <v>8100000</v>
      </c>
      <c r="C27" s="17">
        <v>6480000</v>
      </c>
      <c r="D27" s="17">
        <v>1620000</v>
      </c>
      <c r="E27" s="17">
        <v>2.44</v>
      </c>
      <c r="H27" s="8" t="s">
        <v>33</v>
      </c>
      <c r="I27" s="11">
        <f ca="1">NOW()</f>
        <v>46074.835213888888</v>
      </c>
    </row>
    <row r="28" spans="1:9">
      <c r="A28" t="s">
        <v>34</v>
      </c>
      <c r="B28" s="17">
        <v>71500000</v>
      </c>
      <c r="C28" s="17">
        <v>57200000</v>
      </c>
      <c r="D28" s="17">
        <v>14300000</v>
      </c>
      <c r="E28" s="17">
        <v>15.569999999999999</v>
      </c>
      <c r="H28" s="8" t="s">
        <v>35</v>
      </c>
      <c r="I28" s="9"/>
    </row>
    <row r="31" spans="1:9" ht="29.25">
      <c r="A31" s="19" t="s">
        <v>36</v>
      </c>
      <c r="H31" s="6" t="s">
        <v>37</v>
      </c>
      <c r="I31" s="7"/>
    </row>
    <row r="32" spans="1:9">
      <c r="H32" s="8" t="s">
        <v>38</v>
      </c>
      <c r="I32" s="13">
        <f>PMT(5%/10, 50, D9)</f>
        <v>-36246.012821343764</v>
      </c>
    </row>
    <row r="33" spans="8:9">
      <c r="H33" s="8" t="s">
        <v>39</v>
      </c>
      <c r="I33" s="13">
        <f>NPV(5%,D3:D17)</f>
        <v>9937202.2757224124</v>
      </c>
    </row>
    <row r="36" spans="8:9" ht="15.75">
      <c r="H36" s="15" t="s">
        <v>40</v>
      </c>
      <c r="I36" s="15"/>
    </row>
    <row r="37" spans="8:9" ht="29.25" customHeight="1">
      <c r="H37" s="8" t="s">
        <v>41</v>
      </c>
      <c r="I37" s="14">
        <f>VLOOKUP(B5,B3:E17,4,FALSE)</f>
        <v>1.18</v>
      </c>
    </row>
    <row r="38" spans="8:9">
      <c r="H38" s="8" t="s">
        <v>42</v>
      </c>
      <c r="I38" s="9">
        <f ca="1">HLOOKUP(I38,B3:E17,4,FALSE)</f>
        <v>0</v>
      </c>
    </row>
    <row r="39" spans="8:9">
      <c r="H39" s="8" t="s">
        <v>43</v>
      </c>
      <c r="I39" s="9"/>
    </row>
    <row r="42" spans="8:9" ht="15.75">
      <c r="H42" s="15" t="s">
        <v>44</v>
      </c>
      <c r="I42" s="15"/>
    </row>
    <row r="43" spans="8:9">
      <c r="H43" s="8" t="s">
        <v>45</v>
      </c>
      <c r="I43" s="9">
        <f>AVERAGE(D4:D17)</f>
        <v>950000</v>
      </c>
    </row>
    <row r="44" spans="8:9">
      <c r="H44" s="8" t="s">
        <v>46</v>
      </c>
      <c r="I44" s="9">
        <f>MEDIAN(D3:D17)</f>
        <v>900000</v>
      </c>
    </row>
    <row r="45" spans="8:9">
      <c r="H45" s="8" t="s">
        <v>47</v>
      </c>
      <c r="I45" s="9" t="e">
        <f>MODE(D3:D17)</f>
        <v>#N/A</v>
      </c>
    </row>
    <row r="46" spans="8:9">
      <c r="H46" s="8" t="s">
        <v>48</v>
      </c>
      <c r="I46" s="9">
        <f>STDEV(C3:C17,D3:D17)</f>
        <v>2178028.7407199885</v>
      </c>
    </row>
    <row r="47" spans="8:9">
      <c r="H47" s="8" t="s">
        <v>49</v>
      </c>
      <c r="I47" s="9">
        <f>CORREL(C3:C17,D3:D17)</f>
        <v>1.0000000000000002</v>
      </c>
    </row>
  </sheetData>
  <mergeCells count="7">
    <mergeCell ref="H12:I12"/>
    <mergeCell ref="H42:I42"/>
    <mergeCell ref="H31:I31"/>
    <mergeCell ref="H36:I36"/>
    <mergeCell ref="H18:I18"/>
    <mergeCell ref="H25:I25"/>
    <mergeCell ref="H4:I4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2026-02-21T13:33:04Z</dcterms:created>
  <dcterms:modified xsi:type="dcterms:W3CDTF">2026-02-21T14:33:24Z</dcterms:modified>
  <cp:category/>
  <cp:contentStatus/>
</cp:coreProperties>
</file>