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/>
  <xr:revisionPtr revIDLastSave="0" documentId="8_{2CDD4B3F-8740-43B6-A51B-50B383365C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RKETING" sheetId="1" r:id="rId1"/>
  </sheets>
  <calcPr calcId="191028"/>
  <pivotCaches>
    <pivotCache cacheId="447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1" l="1"/>
  <c r="K55" i="1"/>
  <c r="K51" i="1"/>
  <c r="K50" i="1"/>
  <c r="K48" i="1"/>
  <c r="K44" i="1"/>
  <c r="K43" i="1"/>
  <c r="K42" i="1"/>
  <c r="K37" i="1"/>
  <c r="K36" i="1"/>
  <c r="K35" i="1"/>
  <c r="K34" i="1"/>
  <c r="K33" i="1"/>
  <c r="K29" i="1"/>
  <c r="K28" i="1"/>
  <c r="K23" i="1"/>
  <c r="K24" i="1"/>
  <c r="K22" i="1"/>
  <c r="K16" i="1"/>
  <c r="K18" i="1"/>
  <c r="K17" i="1"/>
  <c r="K12" i="1"/>
  <c r="K11" i="1"/>
  <c r="K10" i="1"/>
  <c r="K9" i="1"/>
  <c r="K8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<sst xmlns="http://schemas.openxmlformats.org/spreadsheetml/2006/main" count="83" uniqueCount="61">
  <si>
    <t>Campaign</t>
  </si>
  <si>
    <t>Leads Generated</t>
  </si>
  <si>
    <t>Cost</t>
  </si>
  <si>
    <t xml:space="preserve">Conversion Rate </t>
  </si>
  <si>
    <t>Sales (L*CR)</t>
  </si>
  <si>
    <t>Summer</t>
  </si>
  <si>
    <t>Festival</t>
  </si>
  <si>
    <t>Influence</t>
  </si>
  <si>
    <t>Email</t>
  </si>
  <si>
    <t>Mathematical Functions</t>
  </si>
  <si>
    <t>Winter</t>
  </si>
  <si>
    <t>Minimum conversion rate  =</t>
  </si>
  <si>
    <t>Newyear</t>
  </si>
  <si>
    <t>Maximum cost =</t>
  </si>
  <si>
    <t>Girls</t>
  </si>
  <si>
    <t>Count of leads generated =</t>
  </si>
  <si>
    <t>Moonsoon</t>
  </si>
  <si>
    <t xml:space="preserve">Total leads generated = </t>
  </si>
  <si>
    <t>Republic day</t>
  </si>
  <si>
    <t>Average conversion rate =</t>
  </si>
  <si>
    <t>School</t>
  </si>
  <si>
    <t>Tech</t>
  </si>
  <si>
    <t>College</t>
  </si>
  <si>
    <t>Logical Functions</t>
  </si>
  <si>
    <t>Senior citizens</t>
  </si>
  <si>
    <t xml:space="preserve">If( max  conversion) = </t>
  </si>
  <si>
    <t>Independance day</t>
  </si>
  <si>
    <t>And (true or false) =</t>
  </si>
  <si>
    <t>Birthday</t>
  </si>
  <si>
    <t>Or (true or false) =</t>
  </si>
  <si>
    <t>Boys</t>
  </si>
  <si>
    <t>Children</t>
  </si>
  <si>
    <t>Date Functions</t>
  </si>
  <si>
    <t>Now =</t>
  </si>
  <si>
    <t>PIVOT TABLE</t>
  </si>
  <si>
    <t>DateDif (of start to end sales)=</t>
  </si>
  <si>
    <t>Today =</t>
  </si>
  <si>
    <t>Sum of Leads Generated</t>
  </si>
  <si>
    <t xml:space="preserve">Sum of Conversion Rate </t>
  </si>
  <si>
    <t>Sum of Cost</t>
  </si>
  <si>
    <t>Sum of Sales (L*CR)</t>
  </si>
  <si>
    <t>Financial Functions</t>
  </si>
  <si>
    <t>PMT</t>
  </si>
  <si>
    <t>NPV</t>
  </si>
  <si>
    <t>Statistical Functions</t>
  </si>
  <si>
    <t>Mean=</t>
  </si>
  <si>
    <t>Mode( in ) =</t>
  </si>
  <si>
    <t>Median =</t>
  </si>
  <si>
    <t>Standard Deviation =</t>
  </si>
  <si>
    <t>Correlation between cost &amp;conversion rate=</t>
  </si>
  <si>
    <t>Grand Total</t>
  </si>
  <si>
    <t>PIVOT CHART</t>
  </si>
  <si>
    <t>Text Functions</t>
  </si>
  <si>
    <t>Left(3,d8) =</t>
  </si>
  <si>
    <t>Right(4,d11) =</t>
  </si>
  <si>
    <t>Mid(2,3,c9) =</t>
  </si>
  <si>
    <t>Concat(c18+d18) =</t>
  </si>
  <si>
    <t>Lookup Functions</t>
  </si>
  <si>
    <t>Vlookup</t>
  </si>
  <si>
    <t>Hlookup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</si>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</sst>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D63E7D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10" fontId="0" fillId="2" borderId="3" xfId="1" applyNumberFormat="1" applyFont="1" applyFill="1" applyBorder="1"/>
    <xf numFmtId="0" fontId="0" fillId="2" borderId="4" xfId="1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0" fontId="0" fillId="2" borderId="7" xfId="1" applyNumberFormat="1" applyFont="1" applyFill="1" applyBorder="1"/>
    <xf numFmtId="0" fontId="0" fillId="2" borderId="8" xfId="0" applyFill="1" applyBorder="1"/>
    <xf numFmtId="0" fontId="0" fillId="2" borderId="9" xfId="0" applyFill="1" applyBorder="1"/>
    <xf numFmtId="10" fontId="0" fillId="2" borderId="10" xfId="1" applyNumberFormat="1" applyFont="1" applyFill="1" applyBorder="1"/>
    <xf numFmtId="0" fontId="0" fillId="2" borderId="11" xfId="1" applyNumberFormat="1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3" fillId="3" borderId="16" xfId="0" applyFont="1" applyFill="1" applyBorder="1" applyAlignment="1"/>
    <xf numFmtId="0" fontId="3" fillId="3" borderId="22" xfId="0" applyFont="1" applyFill="1" applyBorder="1" applyAlignment="1"/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/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/>
    <xf numFmtId="0" fontId="0" fillId="2" borderId="19" xfId="0" applyFill="1" applyBorder="1" applyAlignment="1"/>
    <xf numFmtId="22" fontId="0" fillId="2" borderId="18" xfId="0" applyNumberFormat="1" applyFill="1" applyBorder="1"/>
    <xf numFmtId="0" fontId="0" fillId="2" borderId="18" xfId="0" applyFill="1" applyBorder="1"/>
    <xf numFmtId="14" fontId="0" fillId="2" borderId="19" xfId="0" applyNumberFormat="1" applyFill="1" applyBorder="1"/>
    <xf numFmtId="8" fontId="0" fillId="2" borderId="21" xfId="0" applyNumberFormat="1" applyFill="1" applyBorder="1"/>
    <xf numFmtId="10" fontId="0" fillId="2" borderId="19" xfId="0" applyNumberFormat="1" applyFill="1" applyBorder="1"/>
    <xf numFmtId="0" fontId="0" fillId="2" borderId="21" xfId="0" applyFill="1" applyBorder="1"/>
    <xf numFmtId="0" fontId="0" fillId="2" borderId="19" xfId="0" applyFill="1" applyBorder="1"/>
    <xf numFmtId="0" fontId="4" fillId="2" borderId="20" xfId="0" applyFont="1" applyFill="1" applyBorder="1" applyAlignment="1"/>
    <xf numFmtId="0" fontId="4" fillId="2" borderId="21" xfId="0" applyFont="1" applyFill="1" applyBorder="1" applyAlignment="1"/>
    <xf numFmtId="0" fontId="4" fillId="2" borderId="5" xfId="0" applyFont="1" applyFill="1" applyBorder="1" applyAlignment="1"/>
    <xf numFmtId="0" fontId="4" fillId="2" borderId="18" xfId="0" applyFont="1" applyFill="1" applyBorder="1" applyAlignment="1"/>
    <xf numFmtId="0" fontId="4" fillId="2" borderId="8" xfId="0" applyFont="1" applyFill="1" applyBorder="1" applyAlignment="1"/>
    <xf numFmtId="0" fontId="4" fillId="2" borderId="19" xfId="0" applyFont="1" applyFill="1" applyBorder="1" applyAlignment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colors>
    <mruColors>
      <color rgb="FFD63E7D"/>
      <color rgb="FFF720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[MAPAssignment2.xlsx]MARKETING!PivotTable1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MARKETING!$C$27</c:f>
              <c:strCache>
                <c:ptCount val="1"/>
                <c:pt idx="0">
                  <c:v>Sum of Leads Generated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MARKETING!$B$28:$B$45</c:f>
              <c:strCache>
                <c:ptCount val="17"/>
                <c:pt idx="0">
                  <c:v>Birthday</c:v>
                </c:pt>
                <c:pt idx="1">
                  <c:v>Boys</c:v>
                </c:pt>
                <c:pt idx="2">
                  <c:v>Children</c:v>
                </c:pt>
                <c:pt idx="3">
                  <c:v>College</c:v>
                </c:pt>
                <c:pt idx="4">
                  <c:v>Email</c:v>
                </c:pt>
                <c:pt idx="5">
                  <c:v>Festival</c:v>
                </c:pt>
                <c:pt idx="6">
                  <c:v>Girls</c:v>
                </c:pt>
                <c:pt idx="7">
                  <c:v>Independance day</c:v>
                </c:pt>
                <c:pt idx="8">
                  <c:v>Influence</c:v>
                </c:pt>
                <c:pt idx="9">
                  <c:v>Moonsoon</c:v>
                </c:pt>
                <c:pt idx="10">
                  <c:v>Newyear</c:v>
                </c:pt>
                <c:pt idx="11">
                  <c:v>Republic day</c:v>
                </c:pt>
                <c:pt idx="12">
                  <c:v>School</c:v>
                </c:pt>
                <c:pt idx="13">
                  <c:v>Senior citizens</c:v>
                </c:pt>
                <c:pt idx="14">
                  <c:v>Summer</c:v>
                </c:pt>
                <c:pt idx="15">
                  <c:v>Tech</c:v>
                </c:pt>
                <c:pt idx="16">
                  <c:v>Winter</c:v>
                </c:pt>
              </c:strCache>
            </c:strRef>
          </c:cat>
          <c:val>
            <c:numRef>
              <c:f>MARKETING!$C$28:$C$45</c:f>
              <c:numCache>
                <c:formatCode>General</c:formatCode>
                <c:ptCount val="17"/>
                <c:pt idx="0">
                  <c:v>295</c:v>
                </c:pt>
                <c:pt idx="1">
                  <c:v>445</c:v>
                </c:pt>
                <c:pt idx="2">
                  <c:v>720</c:v>
                </c:pt>
                <c:pt idx="3">
                  <c:v>260</c:v>
                </c:pt>
                <c:pt idx="4">
                  <c:v>500</c:v>
                </c:pt>
                <c:pt idx="5">
                  <c:v>421</c:v>
                </c:pt>
                <c:pt idx="6">
                  <c:v>310</c:v>
                </c:pt>
                <c:pt idx="7">
                  <c:v>680</c:v>
                </c:pt>
                <c:pt idx="8">
                  <c:v>650</c:v>
                </c:pt>
                <c:pt idx="9">
                  <c:v>470</c:v>
                </c:pt>
                <c:pt idx="10">
                  <c:v>150</c:v>
                </c:pt>
                <c:pt idx="11">
                  <c:v>700</c:v>
                </c:pt>
                <c:pt idx="12">
                  <c:v>430</c:v>
                </c:pt>
                <c:pt idx="13">
                  <c:v>520</c:v>
                </c:pt>
                <c:pt idx="14">
                  <c:v>295</c:v>
                </c:pt>
                <c:pt idx="15">
                  <c:v>180</c:v>
                </c:pt>
                <c:pt idx="16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9-46ED-8A9C-10C1C4354A74}"/>
            </c:ext>
          </c:extLst>
        </c:ser>
        <c:ser>
          <c:idx val="1"/>
          <c:order val="1"/>
          <c:tx>
            <c:strRef>
              <c:f>MARKETING!$D$27</c:f>
              <c:strCache>
                <c:ptCount val="1"/>
                <c:pt idx="0">
                  <c:v>Sum of Conversion Rate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MARKETING!$B$28:$B$45</c:f>
              <c:strCache>
                <c:ptCount val="17"/>
                <c:pt idx="0">
                  <c:v>Birthday</c:v>
                </c:pt>
                <c:pt idx="1">
                  <c:v>Boys</c:v>
                </c:pt>
                <c:pt idx="2">
                  <c:v>Children</c:v>
                </c:pt>
                <c:pt idx="3">
                  <c:v>College</c:v>
                </c:pt>
                <c:pt idx="4">
                  <c:v>Email</c:v>
                </c:pt>
                <c:pt idx="5">
                  <c:v>Festival</c:v>
                </c:pt>
                <c:pt idx="6">
                  <c:v>Girls</c:v>
                </c:pt>
                <c:pt idx="7">
                  <c:v>Independance day</c:v>
                </c:pt>
                <c:pt idx="8">
                  <c:v>Influence</c:v>
                </c:pt>
                <c:pt idx="9">
                  <c:v>Moonsoon</c:v>
                </c:pt>
                <c:pt idx="10">
                  <c:v>Newyear</c:v>
                </c:pt>
                <c:pt idx="11">
                  <c:v>Republic day</c:v>
                </c:pt>
                <c:pt idx="12">
                  <c:v>School</c:v>
                </c:pt>
                <c:pt idx="13">
                  <c:v>Senior citizens</c:v>
                </c:pt>
                <c:pt idx="14">
                  <c:v>Summer</c:v>
                </c:pt>
                <c:pt idx="15">
                  <c:v>Tech</c:v>
                </c:pt>
                <c:pt idx="16">
                  <c:v>Winter</c:v>
                </c:pt>
              </c:strCache>
            </c:strRef>
          </c:cat>
          <c:val>
            <c:numRef>
              <c:f>MARKETING!$D$28:$D$45</c:f>
              <c:numCache>
                <c:formatCode>0.00%</c:formatCode>
                <c:ptCount val="17"/>
                <c:pt idx="0">
                  <c:v>7.0000000000000007E-2</c:v>
                </c:pt>
                <c:pt idx="1">
                  <c:v>0.03</c:v>
                </c:pt>
                <c:pt idx="2">
                  <c:v>0.06</c:v>
                </c:pt>
                <c:pt idx="3">
                  <c:v>0.06</c:v>
                </c:pt>
                <c:pt idx="4">
                  <c:v>0.04</c:v>
                </c:pt>
                <c:pt idx="5">
                  <c:v>0.08</c:v>
                </c:pt>
                <c:pt idx="6">
                  <c:v>0.03</c:v>
                </c:pt>
                <c:pt idx="7">
                  <c:v>0.08</c:v>
                </c:pt>
                <c:pt idx="8">
                  <c:v>0.09</c:v>
                </c:pt>
                <c:pt idx="9">
                  <c:v>0.11</c:v>
                </c:pt>
                <c:pt idx="10">
                  <c:v>0.12</c:v>
                </c:pt>
                <c:pt idx="11">
                  <c:v>0.1</c:v>
                </c:pt>
                <c:pt idx="12">
                  <c:v>7.0000000000000007E-2</c:v>
                </c:pt>
                <c:pt idx="13">
                  <c:v>0.13</c:v>
                </c:pt>
                <c:pt idx="14">
                  <c:v>0.06</c:v>
                </c:pt>
                <c:pt idx="15">
                  <c:v>0.04</c:v>
                </c:pt>
                <c:pt idx="16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89-46ED-8A9C-10C1C4354A74}"/>
            </c:ext>
          </c:extLst>
        </c:ser>
        <c:ser>
          <c:idx val="2"/>
          <c:order val="2"/>
          <c:tx>
            <c:strRef>
              <c:f>MARKETING!$E$27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MARKETING!$B$28:$B$45</c:f>
              <c:strCache>
                <c:ptCount val="17"/>
                <c:pt idx="0">
                  <c:v>Birthday</c:v>
                </c:pt>
                <c:pt idx="1">
                  <c:v>Boys</c:v>
                </c:pt>
                <c:pt idx="2">
                  <c:v>Children</c:v>
                </c:pt>
                <c:pt idx="3">
                  <c:v>College</c:v>
                </c:pt>
                <c:pt idx="4">
                  <c:v>Email</c:v>
                </c:pt>
                <c:pt idx="5">
                  <c:v>Festival</c:v>
                </c:pt>
                <c:pt idx="6">
                  <c:v>Girls</c:v>
                </c:pt>
                <c:pt idx="7">
                  <c:v>Independance day</c:v>
                </c:pt>
                <c:pt idx="8">
                  <c:v>Influence</c:v>
                </c:pt>
                <c:pt idx="9">
                  <c:v>Moonsoon</c:v>
                </c:pt>
                <c:pt idx="10">
                  <c:v>Newyear</c:v>
                </c:pt>
                <c:pt idx="11">
                  <c:v>Republic day</c:v>
                </c:pt>
                <c:pt idx="12">
                  <c:v>School</c:v>
                </c:pt>
                <c:pt idx="13">
                  <c:v>Senior citizens</c:v>
                </c:pt>
                <c:pt idx="14">
                  <c:v>Summer</c:v>
                </c:pt>
                <c:pt idx="15">
                  <c:v>Tech</c:v>
                </c:pt>
                <c:pt idx="16">
                  <c:v>Winter</c:v>
                </c:pt>
              </c:strCache>
            </c:strRef>
          </c:cat>
          <c:val>
            <c:numRef>
              <c:f>MARKETING!$E$28:$E$45</c:f>
              <c:numCache>
                <c:formatCode>General</c:formatCode>
                <c:ptCount val="17"/>
                <c:pt idx="0">
                  <c:v>340000</c:v>
                </c:pt>
                <c:pt idx="1">
                  <c:v>45000</c:v>
                </c:pt>
                <c:pt idx="2">
                  <c:v>14000</c:v>
                </c:pt>
                <c:pt idx="3">
                  <c:v>11000</c:v>
                </c:pt>
                <c:pt idx="4">
                  <c:v>45000</c:v>
                </c:pt>
                <c:pt idx="5">
                  <c:v>12000</c:v>
                </c:pt>
                <c:pt idx="6">
                  <c:v>15000</c:v>
                </c:pt>
                <c:pt idx="7">
                  <c:v>88000</c:v>
                </c:pt>
                <c:pt idx="8">
                  <c:v>90000</c:v>
                </c:pt>
                <c:pt idx="9">
                  <c:v>42000</c:v>
                </c:pt>
                <c:pt idx="10">
                  <c:v>5000</c:v>
                </c:pt>
                <c:pt idx="11">
                  <c:v>95000</c:v>
                </c:pt>
                <c:pt idx="12">
                  <c:v>36000</c:v>
                </c:pt>
                <c:pt idx="13">
                  <c:v>48000</c:v>
                </c:pt>
                <c:pt idx="14">
                  <c:v>35000</c:v>
                </c:pt>
                <c:pt idx="15">
                  <c:v>6000</c:v>
                </c:pt>
                <c:pt idx="16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89-46ED-8A9C-10C1C4354A74}"/>
            </c:ext>
          </c:extLst>
        </c:ser>
        <c:ser>
          <c:idx val="3"/>
          <c:order val="3"/>
          <c:tx>
            <c:strRef>
              <c:f>MARKETING!$F$27</c:f>
              <c:strCache>
                <c:ptCount val="1"/>
                <c:pt idx="0">
                  <c:v>Sum of Sales (L*CR)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MARKETING!$B$28:$B$45</c:f>
              <c:strCache>
                <c:ptCount val="17"/>
                <c:pt idx="0">
                  <c:v>Birthday</c:v>
                </c:pt>
                <c:pt idx="1">
                  <c:v>Boys</c:v>
                </c:pt>
                <c:pt idx="2">
                  <c:v>Children</c:v>
                </c:pt>
                <c:pt idx="3">
                  <c:v>College</c:v>
                </c:pt>
                <c:pt idx="4">
                  <c:v>Email</c:v>
                </c:pt>
                <c:pt idx="5">
                  <c:v>Festival</c:v>
                </c:pt>
                <c:pt idx="6">
                  <c:v>Girls</c:v>
                </c:pt>
                <c:pt idx="7">
                  <c:v>Independance day</c:v>
                </c:pt>
                <c:pt idx="8">
                  <c:v>Influence</c:v>
                </c:pt>
                <c:pt idx="9">
                  <c:v>Moonsoon</c:v>
                </c:pt>
                <c:pt idx="10">
                  <c:v>Newyear</c:v>
                </c:pt>
                <c:pt idx="11">
                  <c:v>Republic day</c:v>
                </c:pt>
                <c:pt idx="12">
                  <c:v>School</c:v>
                </c:pt>
                <c:pt idx="13">
                  <c:v>Senior citizens</c:v>
                </c:pt>
                <c:pt idx="14">
                  <c:v>Summer</c:v>
                </c:pt>
                <c:pt idx="15">
                  <c:v>Tech</c:v>
                </c:pt>
                <c:pt idx="16">
                  <c:v>Winter</c:v>
                </c:pt>
              </c:strCache>
            </c:strRef>
          </c:cat>
          <c:val>
            <c:numRef>
              <c:f>MARKETING!$F$28:$F$45</c:f>
              <c:numCache>
                <c:formatCode>General</c:formatCode>
                <c:ptCount val="17"/>
                <c:pt idx="0">
                  <c:v>20.650000000000002</c:v>
                </c:pt>
                <c:pt idx="1">
                  <c:v>13.35</c:v>
                </c:pt>
                <c:pt idx="2">
                  <c:v>43.199999999999996</c:v>
                </c:pt>
                <c:pt idx="3">
                  <c:v>15.6</c:v>
                </c:pt>
                <c:pt idx="4">
                  <c:v>20</c:v>
                </c:pt>
                <c:pt idx="5">
                  <c:v>33.68</c:v>
                </c:pt>
                <c:pt idx="6">
                  <c:v>9.2999999999999989</c:v>
                </c:pt>
                <c:pt idx="7">
                  <c:v>54.4</c:v>
                </c:pt>
                <c:pt idx="8">
                  <c:v>58.5</c:v>
                </c:pt>
                <c:pt idx="9">
                  <c:v>51.7</c:v>
                </c:pt>
                <c:pt idx="10">
                  <c:v>18</c:v>
                </c:pt>
                <c:pt idx="11">
                  <c:v>70</c:v>
                </c:pt>
                <c:pt idx="12">
                  <c:v>30.1</c:v>
                </c:pt>
                <c:pt idx="13">
                  <c:v>67.600000000000009</c:v>
                </c:pt>
                <c:pt idx="14">
                  <c:v>17.7</c:v>
                </c:pt>
                <c:pt idx="15">
                  <c:v>7.2</c:v>
                </c:pt>
                <c:pt idx="16">
                  <c:v>27.300000000000004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89-46ED-8A9C-10C1C4354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5426951"/>
        <c:axId val="611514375"/>
      </c:barChart>
      <c:catAx>
        <c:axId val="545426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14375"/>
        <c:crosses val="autoZero"/>
        <c:auto val="1"/>
        <c:lblAlgn val="ctr"/>
        <c:lblOffset val="100"/>
        <c:noMultiLvlLbl val="0"/>
      </c:catAx>
      <c:valAx>
        <c:axId val="611514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26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28575</xdr:rowOff>
    </xdr:from>
    <xdr:to>
      <xdr:col>6</xdr:col>
      <xdr:colOff>0</xdr:colOff>
      <xdr:row>1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51056C-11EC-873E-62EF-FA47CB46EFA3}"/>
            </a:ext>
          </a:extLst>
        </xdr:cNvPr>
        <xdr:cNvSpPr txBox="1"/>
      </xdr:nvSpPr>
      <xdr:spPr>
        <a:xfrm>
          <a:off x="619125" y="28575"/>
          <a:ext cx="69627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Marketing Data</a:t>
          </a:r>
        </a:p>
      </xdr:txBody>
    </xdr:sp>
    <xdr:clientData/>
  </xdr:twoCellAnchor>
  <xdr:twoCellAnchor>
    <xdr:from>
      <xdr:col>1</xdr:col>
      <xdr:colOff>695325</xdr:colOff>
      <xdr:row>47</xdr:row>
      <xdr:rowOff>9525</xdr:rowOff>
    </xdr:from>
    <xdr:to>
      <xdr:col>5</xdr:col>
      <xdr:colOff>1123950</xdr:colOff>
      <xdr:row>63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7838DE-459E-4444-2BCB-A98AF24921A4}"/>
            </a:ext>
            <a:ext uri="{147F2762-F138-4A5C-976F-8EAC2B608ADB}">
              <a16:predDERef xmlns:a16="http://schemas.microsoft.com/office/drawing/2014/main" pred="{F751056C-11EC-873E-62EF-FA47CB46E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5</xdr:col>
      <xdr:colOff>1228725</xdr:colOff>
      <xdr:row>25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427B2F-2F00-4B48-8B61-72187412480A}"/>
            </a:ext>
            <a:ext uri="{147F2762-F138-4A5C-976F-8EAC2B608ADB}">
              <a16:predDERef xmlns:a16="http://schemas.microsoft.com/office/drawing/2014/main" pred="{FE7838DE-459E-4444-2BCB-A98AF24921A4}"/>
            </a:ext>
          </a:extLst>
        </xdr:cNvPr>
        <xdr:cNvSpPr txBox="1"/>
      </xdr:nvSpPr>
      <xdr:spPr>
        <a:xfrm>
          <a:off x="609600" y="4876800"/>
          <a:ext cx="60864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Marketing Data</a:t>
          </a:r>
        </a:p>
      </xdr:txBody>
    </xdr:sp>
    <xdr:clientData/>
  </xdr:twoCellAnchor>
  <xdr:twoCellAnchor>
    <xdr:from>
      <xdr:col>9</xdr:col>
      <xdr:colOff>9525</xdr:colOff>
      <xdr:row>2</xdr:row>
      <xdr:rowOff>247650</xdr:rowOff>
    </xdr:from>
    <xdr:to>
      <xdr:col>11</xdr:col>
      <xdr:colOff>19050</xdr:colOff>
      <xdr:row>4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99C22F6-045E-60CE-A0BD-78E290D70260}"/>
            </a:ext>
            <a:ext uri="{147F2762-F138-4A5C-976F-8EAC2B608ADB}">
              <a16:predDERef xmlns:a16="http://schemas.microsoft.com/office/drawing/2014/main" pred="{5F427B2F-2F00-4B48-8B61-72187412480A}"/>
            </a:ext>
          </a:extLst>
        </xdr:cNvPr>
        <xdr:cNvSpPr txBox="1"/>
      </xdr:nvSpPr>
      <xdr:spPr>
        <a:xfrm>
          <a:off x="9725025" y="628650"/>
          <a:ext cx="38576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EXCEL FUNCTIONS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3.932316550927" createdVersion="8" refreshedVersion="8" minRefreshableVersion="3" recordCount="17" xr:uid="{595C0D63-2B4F-4F66-BE70-3E760E7D9DBF}">
  <cacheSource type="worksheet">
    <worksheetSource ref="B3:F20" sheet="MARKETING"/>
  </cacheSource>
  <cacheFields count="5">
    <cacheField name="Campaign" numFmtId="0">
      <sharedItems count="17">
        <s v="Summer"/>
        <s v="Festival"/>
        <s v="Influence"/>
        <s v="Email"/>
        <s v="Winter"/>
        <s v="Newyear"/>
        <s v="Girls"/>
        <s v="Moonsoon"/>
        <s v="Republic day"/>
        <s v="School"/>
        <s v="Tech"/>
        <s v="College"/>
        <s v="Senior citizens"/>
        <s v="Independance day"/>
        <s v="Birthday"/>
        <s v="Boys"/>
        <s v="Children"/>
      </sharedItems>
    </cacheField>
    <cacheField name="Leads Generated" numFmtId="0">
      <sharedItems containsSemiMixedTypes="0" containsString="0" containsNumber="1" containsInteger="1" minValue="150" maxValue="720"/>
    </cacheField>
    <cacheField name="Cost" numFmtId="0">
      <sharedItems containsSemiMixedTypes="0" containsString="0" containsNumber="1" containsInteger="1" minValue="5000" maxValue="340000"/>
    </cacheField>
    <cacheField name="Conversion Rate " numFmtId="10">
      <sharedItems containsSemiMixedTypes="0" containsString="0" containsNumber="1" minValue="0.03" maxValue="0.13"/>
    </cacheField>
    <cacheField name="Sales (L*CR)" numFmtId="0">
      <sharedItems containsSemiMixedTypes="0" containsString="0" containsNumber="1" minValue="7.2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295"/>
    <n v="35000"/>
    <n v="0.06"/>
    <n v="17.7"/>
  </r>
  <r>
    <x v="1"/>
    <n v="421"/>
    <n v="12000"/>
    <n v="0.08"/>
    <n v="33.68"/>
  </r>
  <r>
    <x v="2"/>
    <n v="650"/>
    <n v="90000"/>
    <n v="0.09"/>
    <n v="58.5"/>
  </r>
  <r>
    <x v="3"/>
    <n v="500"/>
    <n v="45000"/>
    <n v="0.04"/>
    <n v="20"/>
  </r>
  <r>
    <x v="4"/>
    <n v="390"/>
    <n v="30000"/>
    <n v="7.0000000000000007E-2"/>
    <n v="27.300000000000004"/>
  </r>
  <r>
    <x v="5"/>
    <n v="150"/>
    <n v="5000"/>
    <n v="0.12"/>
    <n v="18"/>
  </r>
  <r>
    <x v="6"/>
    <n v="310"/>
    <n v="15000"/>
    <n v="0.03"/>
    <n v="9.2999999999999989"/>
  </r>
  <r>
    <x v="7"/>
    <n v="470"/>
    <n v="42000"/>
    <n v="0.11"/>
    <n v="51.7"/>
  </r>
  <r>
    <x v="8"/>
    <n v="700"/>
    <n v="95000"/>
    <n v="0.1"/>
    <n v="70"/>
  </r>
  <r>
    <x v="9"/>
    <n v="430"/>
    <n v="36000"/>
    <n v="7.0000000000000007E-2"/>
    <n v="30.1"/>
  </r>
  <r>
    <x v="10"/>
    <n v="180"/>
    <n v="6000"/>
    <n v="0.04"/>
    <n v="7.2"/>
  </r>
  <r>
    <x v="11"/>
    <n v="260"/>
    <n v="11000"/>
    <n v="0.06"/>
    <n v="15.6"/>
  </r>
  <r>
    <x v="12"/>
    <n v="520"/>
    <n v="48000"/>
    <n v="0.13"/>
    <n v="67.600000000000009"/>
  </r>
  <r>
    <x v="13"/>
    <n v="680"/>
    <n v="88000"/>
    <n v="0.08"/>
    <n v="54.4"/>
  </r>
  <r>
    <x v="14"/>
    <n v="295"/>
    <n v="340000"/>
    <n v="7.0000000000000007E-2"/>
    <n v="20.650000000000002"/>
  </r>
  <r>
    <x v="15"/>
    <n v="445"/>
    <n v="45000"/>
    <n v="0.03"/>
    <n v="13.35"/>
  </r>
  <r>
    <x v="16"/>
    <n v="720"/>
    <n v="14000"/>
    <n v="0.06"/>
    <n v="43.19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003C7-1F74-49F8-BAAD-BAE71D4E1252}" name="PivotTable1" cacheId="44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27:F45" firstHeaderRow="0" firstDataRow="1" firstDataCol="1"/>
  <pivotFields count="5">
    <pivotField axis="axisRow" compact="0" outline="0" showAll="0">
      <items count="18">
        <item x="14"/>
        <item x="15"/>
        <item x="16"/>
        <item x="11"/>
        <item x="3"/>
        <item x="1"/>
        <item x="6"/>
        <item x="13"/>
        <item x="2"/>
        <item x="7"/>
        <item x="5"/>
        <item x="8"/>
        <item x="9"/>
        <item x="12"/>
        <item x="0"/>
        <item x="10"/>
        <item x="4"/>
        <item t="default"/>
      </items>
    </pivotField>
    <pivotField dataField="1" compact="0" outline="0" showAll="0"/>
    <pivotField dataField="1" compact="0" outline="0" showAll="0"/>
    <pivotField dataField="1" compact="0" numFmtId="10" outline="0" showAll="0"/>
    <pivotField dataField="1" compact="0" outline="0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eads Generated" fld="1" baseField="0" baseItem="0"/>
    <dataField name="Sum of Conversion Rate " fld="3" baseField="0" baseItem="0" numFmtId="10"/>
    <dataField name="Sum of Cost" fld="2" baseField="0" baseItem="0"/>
    <dataField name="Sum of Sales (L*CR)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57"/>
  <sheetViews>
    <sheetView tabSelected="1" topLeftCell="E1" workbookViewId="0">
      <selection activeCell="Q6" sqref="Q6"/>
    </sheetView>
  </sheetViews>
  <sheetFormatPr defaultRowHeight="15"/>
  <cols>
    <col min="2" max="2" width="22.5703125" customWidth="1"/>
    <col min="3" max="3" width="25.7109375" customWidth="1"/>
    <col min="4" max="4" width="20.5703125" customWidth="1"/>
    <col min="5" max="5" width="21.7109375" customWidth="1"/>
    <col min="6" max="6" width="18.5703125" customWidth="1"/>
    <col min="10" max="10" width="30.140625" customWidth="1"/>
    <col min="11" max="11" width="27.5703125" customWidth="1"/>
  </cols>
  <sheetData>
    <row r="3" spans="2:11" ht="21">
      <c r="B3" s="15" t="s">
        <v>0</v>
      </c>
      <c r="C3" s="16" t="s">
        <v>1</v>
      </c>
      <c r="D3" s="16" t="s">
        <v>2</v>
      </c>
      <c r="E3" s="17" t="s">
        <v>3</v>
      </c>
      <c r="F3" s="18" t="s">
        <v>4</v>
      </c>
    </row>
    <row r="4" spans="2:11">
      <c r="B4" s="4" t="s">
        <v>5</v>
      </c>
      <c r="C4" s="5">
        <v>295</v>
      </c>
      <c r="D4" s="5">
        <v>35000</v>
      </c>
      <c r="E4" s="6">
        <v>0.06</v>
      </c>
      <c r="F4" s="7">
        <f>PRODUCT(C4,E4)</f>
        <v>17.7</v>
      </c>
    </row>
    <row r="5" spans="2:11">
      <c r="B5" s="8" t="s">
        <v>6</v>
      </c>
      <c r="C5" s="9">
        <v>421</v>
      </c>
      <c r="D5" s="9">
        <v>12000</v>
      </c>
      <c r="E5" s="10">
        <v>0.08</v>
      </c>
      <c r="F5" s="7">
        <f t="shared" ref="F5:F20" si="0">PRODUCT(C5,E5)</f>
        <v>33.68</v>
      </c>
    </row>
    <row r="6" spans="2:11">
      <c r="B6" s="8" t="s">
        <v>7</v>
      </c>
      <c r="C6" s="9">
        <v>650</v>
      </c>
      <c r="D6" s="9">
        <v>90000</v>
      </c>
      <c r="E6" s="10">
        <v>0.09</v>
      </c>
      <c r="F6" s="7">
        <f t="shared" si="0"/>
        <v>58.5</v>
      </c>
    </row>
    <row r="7" spans="2:11" ht="21">
      <c r="B7" s="8" t="s">
        <v>8</v>
      </c>
      <c r="C7" s="9">
        <v>500</v>
      </c>
      <c r="D7" s="9">
        <v>45000</v>
      </c>
      <c r="E7" s="10">
        <v>0.04</v>
      </c>
      <c r="F7" s="7">
        <f t="shared" si="0"/>
        <v>20</v>
      </c>
      <c r="J7" s="19" t="s">
        <v>9</v>
      </c>
      <c r="K7" s="20"/>
    </row>
    <row r="8" spans="2:11">
      <c r="B8" s="8" t="s">
        <v>10</v>
      </c>
      <c r="C8" s="9">
        <v>390</v>
      </c>
      <c r="D8" s="9">
        <v>30000</v>
      </c>
      <c r="E8" s="10">
        <v>7.0000000000000007E-2</v>
      </c>
      <c r="F8" s="7">
        <f t="shared" si="0"/>
        <v>27.300000000000004</v>
      </c>
      <c r="J8" s="8" t="s">
        <v>11</v>
      </c>
      <c r="K8" s="23">
        <f>MIN(F7:F23)</f>
        <v>7.2</v>
      </c>
    </row>
    <row r="9" spans="2:11">
      <c r="B9" s="8" t="s">
        <v>12</v>
      </c>
      <c r="C9" s="9">
        <v>150</v>
      </c>
      <c r="D9" s="9">
        <v>5000</v>
      </c>
      <c r="E9" s="10">
        <v>0.12</v>
      </c>
      <c r="F9" s="7">
        <f t="shared" si="0"/>
        <v>18</v>
      </c>
      <c r="J9" s="8" t="s">
        <v>13</v>
      </c>
      <c r="K9" s="23">
        <f>MAX(E8:E24)</f>
        <v>0.13</v>
      </c>
    </row>
    <row r="10" spans="2:11">
      <c r="B10" s="8" t="s">
        <v>14</v>
      </c>
      <c r="C10" s="9">
        <v>310</v>
      </c>
      <c r="D10" s="9">
        <v>15000</v>
      </c>
      <c r="E10" s="10">
        <v>0.03</v>
      </c>
      <c r="F10" s="7">
        <f t="shared" si="0"/>
        <v>9.2999999999999989</v>
      </c>
      <c r="J10" s="8" t="s">
        <v>15</v>
      </c>
      <c r="K10" s="23">
        <f>COUNT(D8:D24)</f>
        <v>13</v>
      </c>
    </row>
    <row r="11" spans="2:11">
      <c r="B11" s="8" t="s">
        <v>16</v>
      </c>
      <c r="C11" s="9">
        <v>470</v>
      </c>
      <c r="D11" s="9">
        <v>42000</v>
      </c>
      <c r="E11" s="10">
        <v>0.11</v>
      </c>
      <c r="F11" s="7">
        <f t="shared" si="0"/>
        <v>51.7</v>
      </c>
      <c r="J11" s="8" t="s">
        <v>17</v>
      </c>
      <c r="K11" s="23">
        <f>SUM(D8:D25)</f>
        <v>775000</v>
      </c>
    </row>
    <row r="12" spans="2:11">
      <c r="B12" s="8" t="s">
        <v>18</v>
      </c>
      <c r="C12" s="9">
        <v>700</v>
      </c>
      <c r="D12" s="9">
        <v>95000</v>
      </c>
      <c r="E12" s="10">
        <v>0.1</v>
      </c>
      <c r="F12" s="7">
        <f t="shared" si="0"/>
        <v>70</v>
      </c>
      <c r="J12" s="11" t="s">
        <v>19</v>
      </c>
      <c r="K12" s="24">
        <f>AVERAGE(F7:F23)</f>
        <v>32.028571428571425</v>
      </c>
    </row>
    <row r="13" spans="2:11">
      <c r="B13" s="8" t="s">
        <v>20</v>
      </c>
      <c r="C13" s="9">
        <v>430</v>
      </c>
      <c r="D13" s="9">
        <v>36000</v>
      </c>
      <c r="E13" s="10">
        <v>7.0000000000000007E-2</v>
      </c>
      <c r="F13" s="7">
        <f t="shared" si="0"/>
        <v>30.1</v>
      </c>
    </row>
    <row r="14" spans="2:11">
      <c r="B14" s="8" t="s">
        <v>21</v>
      </c>
      <c r="C14" s="9">
        <v>180</v>
      </c>
      <c r="D14" s="9">
        <v>6000</v>
      </c>
      <c r="E14" s="10">
        <v>0.04</v>
      </c>
      <c r="F14" s="7">
        <f t="shared" si="0"/>
        <v>7.2</v>
      </c>
    </row>
    <row r="15" spans="2:11" ht="21">
      <c r="B15" s="8" t="s">
        <v>22</v>
      </c>
      <c r="C15" s="9">
        <v>260</v>
      </c>
      <c r="D15" s="9">
        <v>11000</v>
      </c>
      <c r="E15" s="10">
        <v>0.06</v>
      </c>
      <c r="F15" s="7">
        <f t="shared" si="0"/>
        <v>15.6</v>
      </c>
      <c r="J15" s="19" t="s">
        <v>23</v>
      </c>
      <c r="K15" s="20"/>
    </row>
    <row r="16" spans="2:11">
      <c r="B16" s="8" t="s">
        <v>24</v>
      </c>
      <c r="C16" s="9">
        <v>520</v>
      </c>
      <c r="D16" s="9">
        <v>48000</v>
      </c>
      <c r="E16" s="10">
        <v>0.13</v>
      </c>
      <c r="F16" s="7">
        <f t="shared" si="0"/>
        <v>67.600000000000009</v>
      </c>
      <c r="J16" s="25" t="s">
        <v>25</v>
      </c>
      <c r="K16" s="26" t="str">
        <f>IF(F8&gt; 25000,"Maximum","Minimum" )</f>
        <v>Minimum</v>
      </c>
    </row>
    <row r="17" spans="2:11">
      <c r="B17" s="8" t="s">
        <v>26</v>
      </c>
      <c r="C17" s="9">
        <v>680</v>
      </c>
      <c r="D17" s="9">
        <v>88000</v>
      </c>
      <c r="E17" s="10">
        <v>0.08</v>
      </c>
      <c r="F17" s="7">
        <f t="shared" si="0"/>
        <v>54.4</v>
      </c>
      <c r="J17" s="8" t="s">
        <v>27</v>
      </c>
      <c r="K17" s="27" t="b">
        <f>AND(E8&gt;20000,E10&lt;20000)</f>
        <v>0</v>
      </c>
    </row>
    <row r="18" spans="2:11">
      <c r="B18" s="8" t="s">
        <v>28</v>
      </c>
      <c r="C18" s="9">
        <v>295</v>
      </c>
      <c r="D18" s="9">
        <v>340000</v>
      </c>
      <c r="E18" s="10">
        <v>7.0000000000000007E-2</v>
      </c>
      <c r="F18" s="7">
        <f t="shared" si="0"/>
        <v>20.650000000000002</v>
      </c>
      <c r="J18" s="11" t="s">
        <v>29</v>
      </c>
      <c r="K18" s="28" t="b">
        <f>OR( F8&gt;20000,F10&lt;20000)</f>
        <v>1</v>
      </c>
    </row>
    <row r="19" spans="2:11">
      <c r="B19" s="8" t="s">
        <v>30</v>
      </c>
      <c r="C19" s="9">
        <v>445</v>
      </c>
      <c r="D19" s="9">
        <v>45000</v>
      </c>
      <c r="E19" s="10">
        <v>0.03</v>
      </c>
      <c r="F19" s="7">
        <f t="shared" si="0"/>
        <v>13.35</v>
      </c>
    </row>
    <row r="20" spans="2:11">
      <c r="B20" s="11" t="s">
        <v>31</v>
      </c>
      <c r="C20" s="12">
        <v>720</v>
      </c>
      <c r="D20" s="12">
        <v>14000</v>
      </c>
      <c r="E20" s="13">
        <v>0.06</v>
      </c>
      <c r="F20" s="14">
        <f t="shared" si="0"/>
        <v>43.199999999999996</v>
      </c>
    </row>
    <row r="21" spans="2:11" ht="21">
      <c r="J21" s="19" t="s">
        <v>32</v>
      </c>
      <c r="K21" s="20"/>
    </row>
    <row r="22" spans="2:11">
      <c r="J22" s="8" t="s">
        <v>33</v>
      </c>
      <c r="K22" s="29">
        <f ca="1">NOW()</f>
        <v>46073.956103935183</v>
      </c>
    </row>
    <row r="23" spans="2:11">
      <c r="B23" s="42" t="s">
        <v>34</v>
      </c>
      <c r="J23" s="8" t="s">
        <v>35</v>
      </c>
      <c r="K23" s="30" t="e">
        <f>DATEDIF(B4, B20,"F")</f>
        <v>#VALUE!</v>
      </c>
    </row>
    <row r="24" spans="2:11">
      <c r="J24" s="11" t="s">
        <v>36</v>
      </c>
      <c r="K24" s="31">
        <f ca="1">TODAY()</f>
        <v>46073</v>
      </c>
    </row>
    <row r="27" spans="2:11" ht="21">
      <c r="B27" s="1" t="s">
        <v>0</v>
      </c>
      <c r="C27" t="s">
        <v>37</v>
      </c>
      <c r="D27" t="s">
        <v>38</v>
      </c>
      <c r="E27" t="s">
        <v>39</v>
      </c>
      <c r="F27" t="s">
        <v>40</v>
      </c>
      <c r="J27" s="19" t="s">
        <v>41</v>
      </c>
      <c r="K27" s="20"/>
    </row>
    <row r="28" spans="2:11">
      <c r="B28" t="s">
        <v>28</v>
      </c>
      <c r="C28" s="2">
        <v>295</v>
      </c>
      <c r="D28" s="3">
        <v>7.0000000000000007E-2</v>
      </c>
      <c r="E28" s="2">
        <v>340000</v>
      </c>
      <c r="F28" s="2">
        <v>20.650000000000002</v>
      </c>
      <c r="J28" s="25" t="s">
        <v>42</v>
      </c>
      <c r="K28" s="32">
        <f>PMT(10%/12,5*12,-SUM(C4:C20))</f>
        <v>157.56808357876554</v>
      </c>
    </row>
    <row r="29" spans="2:11">
      <c r="B29" t="s">
        <v>30</v>
      </c>
      <c r="C29" s="2">
        <v>445</v>
      </c>
      <c r="D29" s="3">
        <v>0.03</v>
      </c>
      <c r="E29" s="2">
        <v>45000</v>
      </c>
      <c r="F29" s="2">
        <v>13.35</v>
      </c>
      <c r="J29" s="11" t="s">
        <v>43</v>
      </c>
      <c r="K29" s="33">
        <f>NPV(10%,F4:F20)-SUM(C4:C20)</f>
        <v>-7159.3716103747147</v>
      </c>
    </row>
    <row r="30" spans="2:11">
      <c r="B30" t="s">
        <v>31</v>
      </c>
      <c r="C30" s="2">
        <v>720</v>
      </c>
      <c r="D30" s="3">
        <v>0.06</v>
      </c>
      <c r="E30" s="2">
        <v>14000</v>
      </c>
      <c r="F30" s="2">
        <v>43.199999999999996</v>
      </c>
    </row>
    <row r="31" spans="2:11">
      <c r="B31" t="s">
        <v>22</v>
      </c>
      <c r="C31" s="2">
        <v>260</v>
      </c>
      <c r="D31" s="3">
        <v>0.06</v>
      </c>
      <c r="E31" s="2">
        <v>11000</v>
      </c>
      <c r="F31" s="2">
        <v>15.6</v>
      </c>
    </row>
    <row r="32" spans="2:11" ht="21">
      <c r="B32" t="s">
        <v>8</v>
      </c>
      <c r="C32" s="2">
        <v>500</v>
      </c>
      <c r="D32" s="3">
        <v>0.04</v>
      </c>
      <c r="E32" s="2">
        <v>45000</v>
      </c>
      <c r="F32" s="2">
        <v>20</v>
      </c>
      <c r="J32" s="19" t="s">
        <v>44</v>
      </c>
      <c r="K32" s="20"/>
    </row>
    <row r="33" spans="2:11">
      <c r="B33" t="s">
        <v>6</v>
      </c>
      <c r="C33" s="2">
        <v>421</v>
      </c>
      <c r="D33" s="3">
        <v>0.08</v>
      </c>
      <c r="E33" s="2">
        <v>12000</v>
      </c>
      <c r="F33" s="2">
        <v>33.68</v>
      </c>
      <c r="J33" s="25" t="s">
        <v>45</v>
      </c>
      <c r="K33" s="34">
        <f>AVERAGE(D4:D20)</f>
        <v>56294.117647058825</v>
      </c>
    </row>
    <row r="34" spans="2:11">
      <c r="B34" t="s">
        <v>14</v>
      </c>
      <c r="C34" s="2">
        <v>310</v>
      </c>
      <c r="D34" s="3">
        <v>0.03</v>
      </c>
      <c r="E34" s="2">
        <v>15000</v>
      </c>
      <c r="F34" s="2">
        <v>9.2999999999999989</v>
      </c>
      <c r="J34" s="8" t="s">
        <v>46</v>
      </c>
      <c r="K34" s="30">
        <f>MODE(C4:C20)</f>
        <v>295</v>
      </c>
    </row>
    <row r="35" spans="2:11">
      <c r="B35" t="s">
        <v>26</v>
      </c>
      <c r="C35" s="2">
        <v>680</v>
      </c>
      <c r="D35" s="3">
        <v>0.08</v>
      </c>
      <c r="E35" s="2">
        <v>88000</v>
      </c>
      <c r="F35" s="2">
        <v>54.4</v>
      </c>
      <c r="J35" s="8" t="s">
        <v>47</v>
      </c>
      <c r="K35" s="30">
        <f>MEDIAN(D4:D20)</f>
        <v>36000</v>
      </c>
    </row>
    <row r="36" spans="2:11">
      <c r="B36" t="s">
        <v>7</v>
      </c>
      <c r="C36" s="2">
        <v>650</v>
      </c>
      <c r="D36" s="3">
        <v>0.09</v>
      </c>
      <c r="E36" s="2">
        <v>90000</v>
      </c>
      <c r="F36" s="2">
        <v>58.5</v>
      </c>
      <c r="J36" s="8" t="s">
        <v>48</v>
      </c>
      <c r="K36" s="30">
        <f>_xlfn.STDEV.S(E4:E20)</f>
        <v>2.9950940277884624E-2</v>
      </c>
    </row>
    <row r="37" spans="2:11">
      <c r="B37" t="s">
        <v>16</v>
      </c>
      <c r="C37" s="2">
        <v>470</v>
      </c>
      <c r="D37" s="3">
        <v>0.11</v>
      </c>
      <c r="E37" s="2">
        <v>42000</v>
      </c>
      <c r="F37" s="2">
        <v>51.7</v>
      </c>
      <c r="J37" s="8" t="s">
        <v>49</v>
      </c>
      <c r="K37" s="30">
        <f>CORREL(D4:D20, C4:C20)</f>
        <v>7.5515969413934805E-2</v>
      </c>
    </row>
    <row r="38" spans="2:11">
      <c r="B38" t="s">
        <v>12</v>
      </c>
      <c r="C38" s="2">
        <v>150</v>
      </c>
      <c r="D38" s="3">
        <v>0.12</v>
      </c>
      <c r="E38" s="2">
        <v>5000</v>
      </c>
      <c r="F38" s="2">
        <v>18</v>
      </c>
      <c r="J38" s="11"/>
      <c r="K38" s="35"/>
    </row>
    <row r="39" spans="2:11">
      <c r="B39" t="s">
        <v>18</v>
      </c>
      <c r="C39" s="2">
        <v>700</v>
      </c>
      <c r="D39" s="3">
        <v>0.1</v>
      </c>
      <c r="E39" s="2">
        <v>95000</v>
      </c>
      <c r="F39" s="2">
        <v>70</v>
      </c>
    </row>
    <row r="40" spans="2:11">
      <c r="B40" t="s">
        <v>20</v>
      </c>
      <c r="C40" s="2">
        <v>430</v>
      </c>
      <c r="D40" s="3">
        <v>7.0000000000000007E-2</v>
      </c>
      <c r="E40" s="2">
        <v>36000</v>
      </c>
      <c r="F40" s="2">
        <v>30.1</v>
      </c>
    </row>
    <row r="41" spans="2:11" ht="21">
      <c r="B41" t="s">
        <v>24</v>
      </c>
      <c r="C41" s="2">
        <v>520</v>
      </c>
      <c r="D41" s="3">
        <v>0.13</v>
      </c>
      <c r="E41" s="2">
        <v>48000</v>
      </c>
      <c r="F41" s="2">
        <v>67.600000000000009</v>
      </c>
      <c r="J41" s="19" t="s">
        <v>23</v>
      </c>
      <c r="K41" s="20"/>
    </row>
    <row r="42" spans="2:11">
      <c r="B42" t="s">
        <v>5</v>
      </c>
      <c r="C42" s="2">
        <v>295</v>
      </c>
      <c r="D42" s="3">
        <v>0.06</v>
      </c>
      <c r="E42" s="2">
        <v>35000</v>
      </c>
      <c r="F42" s="2">
        <v>17.7</v>
      </c>
      <c r="J42" s="25" t="s">
        <v>25</v>
      </c>
      <c r="K42" s="26" t="str">
        <f>IF(F34&gt; 25000,"Maximum","Minimum" )</f>
        <v>Minimum</v>
      </c>
    </row>
    <row r="43" spans="2:11">
      <c r="B43" t="s">
        <v>21</v>
      </c>
      <c r="C43" s="2">
        <v>180</v>
      </c>
      <c r="D43" s="3">
        <v>0.04</v>
      </c>
      <c r="E43" s="2">
        <v>6000</v>
      </c>
      <c r="F43" s="2">
        <v>7.2</v>
      </c>
      <c r="J43" s="8" t="s">
        <v>27</v>
      </c>
      <c r="K43" s="30" t="b">
        <f>AND(E34&gt;20000,E36&lt;20000)</f>
        <v>0</v>
      </c>
    </row>
    <row r="44" spans="2:11">
      <c r="B44" t="s">
        <v>10</v>
      </c>
      <c r="C44" s="2">
        <v>390</v>
      </c>
      <c r="D44" s="3">
        <v>7.0000000000000007E-2</v>
      </c>
      <c r="E44" s="2">
        <v>30000</v>
      </c>
      <c r="F44" s="2">
        <v>27.300000000000004</v>
      </c>
      <c r="J44" s="11" t="s">
        <v>29</v>
      </c>
      <c r="K44" s="35" t="b">
        <f>OR( F34&gt;20000,F36&lt;20000)</f>
        <v>1</v>
      </c>
    </row>
    <row r="45" spans="2:11">
      <c r="B45" t="s">
        <v>50</v>
      </c>
      <c r="C45" s="2">
        <v>7416</v>
      </c>
      <c r="D45" s="3">
        <v>1.24</v>
      </c>
      <c r="E45" s="2">
        <v>957000</v>
      </c>
      <c r="F45" s="2">
        <v>558.28000000000009</v>
      </c>
    </row>
    <row r="47" spans="2:11" ht="21">
      <c r="B47" s="42" t="s">
        <v>51</v>
      </c>
      <c r="J47" s="19" t="s">
        <v>52</v>
      </c>
      <c r="K47" s="20"/>
    </row>
    <row r="48" spans="2:11">
      <c r="J48" s="25" t="s">
        <v>53</v>
      </c>
      <c r="K48" s="34" t="str">
        <f>LEFT(F9,4)</f>
        <v>18</v>
      </c>
    </row>
    <row r="49" spans="10:11">
      <c r="J49" s="8" t="s">
        <v>54</v>
      </c>
      <c r="K49" s="30">
        <v>90</v>
      </c>
    </row>
    <row r="50" spans="10:11">
      <c r="J50" s="8" t="s">
        <v>55</v>
      </c>
      <c r="K50" s="30" t="str">
        <f>MID(F9,2,3)</f>
        <v>8</v>
      </c>
    </row>
    <row r="51" spans="10:11">
      <c r="J51" s="11" t="s">
        <v>56</v>
      </c>
      <c r="K51" s="35" t="str">
        <f>_xlfn.CONCAT(E8,"_",F8)</f>
        <v>0.07_27.3</v>
      </c>
    </row>
    <row r="54" spans="10:11" ht="21">
      <c r="J54" s="21" t="s">
        <v>57</v>
      </c>
      <c r="K54" s="22"/>
    </row>
    <row r="55" spans="10:11">
      <c r="J55" s="36" t="s">
        <v>58</v>
      </c>
      <c r="K55" s="37">
        <f>VLOOKUP(B4, B3:F19,3, FALSE)</f>
        <v>35000</v>
      </c>
    </row>
    <row r="56" spans="10:11">
      <c r="J56" s="38" t="s">
        <v>59</v>
      </c>
      <c r="K56" s="39" t="e">
        <f>HLOOKUP(C6,B4:E21,4,FALSE)</f>
        <v>#N/A</v>
      </c>
    </row>
    <row r="57" spans="10:11">
      <c r="J57" s="40" t="s">
        <v>60</v>
      </c>
      <c r="K57" s="41"/>
    </row>
  </sheetData>
  <mergeCells count="8">
    <mergeCell ref="J54:K54"/>
    <mergeCell ref="J47:K47"/>
    <mergeCell ref="J7:K7"/>
    <mergeCell ref="J15:K15"/>
    <mergeCell ref="J21:K21"/>
    <mergeCell ref="J27:K27"/>
    <mergeCell ref="J32:K32"/>
    <mergeCell ref="J41:K4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2026-02-20T16:05:29Z</dcterms:created>
  <dcterms:modified xsi:type="dcterms:W3CDTF">2026-02-20T17:28:08Z</dcterms:modified>
  <cp:category/>
  <cp:contentStatus/>
</cp:coreProperties>
</file>